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82DD4F3-01B1-4D9D-B113-4CAEAFEE39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. Input Data" sheetId="1" r:id="rId1"/>
    <sheet name="2. Regresi &amp; Hasil" sheetId="2" r:id="rId2"/>
    <sheet name="3. Validasi &amp; Grafik" sheetId="3" r:id="rId3"/>
    <sheet name="4. Firmware ESP32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2" l="1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N11" i="2"/>
  <c r="D11" i="2"/>
  <c r="C11" i="2"/>
  <c r="B11" i="2"/>
  <c r="D10" i="2"/>
  <c r="C10" i="2"/>
  <c r="B10" i="2"/>
  <c r="D9" i="2"/>
  <c r="C9" i="2"/>
  <c r="B9" i="2"/>
  <c r="D8" i="2"/>
  <c r="C8" i="2"/>
  <c r="B8" i="2"/>
  <c r="N7" i="2"/>
  <c r="D7" i="2"/>
  <c r="C7" i="2"/>
  <c r="B7" i="2"/>
  <c r="D6" i="2"/>
  <c r="C6" i="2"/>
  <c r="B6" i="2"/>
  <c r="B9" i="3" l="1"/>
  <c r="I8" i="3"/>
  <c r="B8" i="3"/>
  <c r="I7" i="3"/>
  <c r="B7" i="3"/>
  <c r="I6" i="3"/>
  <c r="B6" i="3"/>
  <c r="I5" i="3"/>
  <c r="B5" i="3"/>
  <c r="H23" i="2"/>
  <c r="H21" i="2"/>
  <c r="H16" i="2"/>
  <c r="H15" i="2"/>
  <c r="H14" i="2"/>
  <c r="H13" i="2"/>
  <c r="H12" i="2"/>
  <c r="I22" i="3"/>
  <c r="B22" i="3"/>
  <c r="I21" i="3"/>
  <c r="B20" i="3"/>
  <c r="I19" i="3"/>
  <c r="B19" i="3"/>
  <c r="I18" i="3"/>
  <c r="B17" i="3"/>
  <c r="I16" i="3"/>
  <c r="B16" i="3"/>
  <c r="I15" i="3"/>
  <c r="I13" i="3"/>
  <c r="B13" i="3"/>
  <c r="I12" i="3"/>
  <c r="B10" i="3"/>
  <c r="N38" i="2"/>
  <c r="C24" i="2"/>
  <c r="N8" i="2"/>
  <c r="H7" i="2"/>
  <c r="H6" i="2"/>
  <c r="H8" i="2"/>
  <c r="B11" i="3"/>
  <c r="B21" i="3"/>
  <c r="I20" i="3"/>
  <c r="B18" i="3"/>
  <c r="I17" i="3"/>
  <c r="B15" i="3"/>
  <c r="I14" i="3"/>
  <c r="B14" i="3"/>
  <c r="B12" i="3"/>
  <c r="I11" i="3"/>
  <c r="I10" i="3"/>
  <c r="I9" i="3"/>
  <c r="N37" i="2"/>
  <c r="B24" i="2"/>
  <c r="H22" i="2"/>
  <c r="H20" i="2"/>
  <c r="H19" i="2"/>
  <c r="H18" i="2"/>
  <c r="H17" i="2"/>
  <c r="H11" i="2"/>
  <c r="N10" i="2"/>
  <c r="N30" i="2" s="1"/>
  <c r="H10" i="2"/>
  <c r="N9" i="2"/>
  <c r="B8" i="4" s="1"/>
  <c r="H9" i="2"/>
  <c r="B6" i="4"/>
  <c r="N36" i="2"/>
  <c r="N39" i="2" s="1"/>
  <c r="O39" i="2" s="1"/>
  <c r="B7" i="4" l="1"/>
  <c r="E9" i="2"/>
  <c r="E22" i="2"/>
  <c r="E10" i="2"/>
  <c r="E21" i="2"/>
  <c r="E16" i="2"/>
  <c r="E15" i="2"/>
  <c r="E7" i="2"/>
  <c r="H24" i="2"/>
  <c r="E6" i="2"/>
  <c r="E17" i="2"/>
  <c r="E11" i="2"/>
  <c r="E14" i="2"/>
  <c r="E13" i="2"/>
  <c r="E12" i="2"/>
  <c r="E19" i="2"/>
  <c r="E18" i="2"/>
  <c r="E8" i="2"/>
  <c r="M24" i="2"/>
  <c r="E23" i="2"/>
  <c r="E20" i="2"/>
  <c r="F9" i="2" l="1"/>
  <c r="G9" i="2" s="1"/>
  <c r="C8" i="3"/>
  <c r="D8" i="3" s="1"/>
  <c r="E8" i="3" s="1"/>
  <c r="F8" i="3" s="1"/>
  <c r="J8" i="3"/>
  <c r="C21" i="3"/>
  <c r="D21" i="3" s="1"/>
  <c r="E21" i="3" s="1"/>
  <c r="F21" i="3" s="1"/>
  <c r="J21" i="3"/>
  <c r="F22" i="2"/>
  <c r="G22" i="2" s="1"/>
  <c r="C9" i="3"/>
  <c r="D9" i="3" s="1"/>
  <c r="E9" i="3" s="1"/>
  <c r="F9" i="3" s="1"/>
  <c r="J9" i="3"/>
  <c r="F10" i="2"/>
  <c r="G10" i="2" s="1"/>
  <c r="J20" i="3"/>
  <c r="C20" i="3"/>
  <c r="D20" i="3" s="1"/>
  <c r="E20" i="3" s="1"/>
  <c r="F20" i="3" s="1"/>
  <c r="F21" i="2"/>
  <c r="G21" i="2" s="1"/>
  <c r="F16" i="2"/>
  <c r="G16" i="2" s="1"/>
  <c r="C15" i="3"/>
  <c r="D15" i="3" s="1"/>
  <c r="J15" i="3"/>
  <c r="F15" i="2"/>
  <c r="G15" i="2" s="1"/>
  <c r="J14" i="3"/>
  <c r="C14" i="3"/>
  <c r="D14" i="3" s="1"/>
  <c r="E14" i="3" s="1"/>
  <c r="F14" i="3" s="1"/>
  <c r="F7" i="2"/>
  <c r="G7" i="2" s="1"/>
  <c r="J6" i="3"/>
  <c r="C6" i="3"/>
  <c r="D6" i="3" s="1"/>
  <c r="E6" i="3" s="1"/>
  <c r="F6" i="3" s="1"/>
  <c r="F6" i="2"/>
  <c r="J5" i="3"/>
  <c r="C5" i="3"/>
  <c r="D5" i="3" s="1"/>
  <c r="E24" i="2"/>
  <c r="F17" i="2"/>
  <c r="G17" i="2" s="1"/>
  <c r="J16" i="3"/>
  <c r="C16" i="3"/>
  <c r="D16" i="3" s="1"/>
  <c r="E16" i="3" s="1"/>
  <c r="F16" i="3" s="1"/>
  <c r="F11" i="2"/>
  <c r="G11" i="2" s="1"/>
  <c r="J10" i="3"/>
  <c r="C10" i="3"/>
  <c r="D10" i="3" s="1"/>
  <c r="E10" i="3" s="1"/>
  <c r="F10" i="3" s="1"/>
  <c r="F14" i="2"/>
  <c r="G14" i="2" s="1"/>
  <c r="J13" i="3"/>
  <c r="C13" i="3"/>
  <c r="D13" i="3" s="1"/>
  <c r="E13" i="3" s="1"/>
  <c r="F13" i="3" s="1"/>
  <c r="F13" i="2"/>
  <c r="G13" i="2" s="1"/>
  <c r="J12" i="3"/>
  <c r="C12" i="3"/>
  <c r="D12" i="3" s="1"/>
  <c r="F12" i="2"/>
  <c r="G12" i="2" s="1"/>
  <c r="J11" i="3"/>
  <c r="C11" i="3"/>
  <c r="D11" i="3" s="1"/>
  <c r="E11" i="3" s="1"/>
  <c r="F11" i="3" s="1"/>
  <c r="F19" i="2"/>
  <c r="G19" i="2" s="1"/>
  <c r="C18" i="3"/>
  <c r="D18" i="3" s="1"/>
  <c r="E18" i="3" s="1"/>
  <c r="F18" i="3" s="1"/>
  <c r="J18" i="3"/>
  <c r="F18" i="2"/>
  <c r="G18" i="2" s="1"/>
  <c r="J17" i="3"/>
  <c r="C17" i="3"/>
  <c r="D17" i="3" s="1"/>
  <c r="E17" i="3" s="1"/>
  <c r="F17" i="3" s="1"/>
  <c r="F8" i="2"/>
  <c r="G8" i="2" s="1"/>
  <c r="J7" i="3"/>
  <c r="C7" i="3"/>
  <c r="D7" i="3" s="1"/>
  <c r="E7" i="3" s="1"/>
  <c r="F7" i="3" s="1"/>
  <c r="F23" i="2"/>
  <c r="G23" i="2" s="1"/>
  <c r="J22" i="3"/>
  <c r="C22" i="3"/>
  <c r="D22" i="3" s="1"/>
  <c r="E22" i="3" s="1"/>
  <c r="F22" i="3" s="1"/>
  <c r="F20" i="2"/>
  <c r="G20" i="2" s="1"/>
  <c r="J19" i="3"/>
  <c r="C19" i="3"/>
  <c r="D19" i="3" s="1"/>
  <c r="E19" i="3" s="1"/>
  <c r="F19" i="3" s="1"/>
  <c r="E12" i="3"/>
  <c r="F12" i="3" s="1"/>
  <c r="N29" i="2" l="1"/>
  <c r="N19" i="2"/>
  <c r="G6" i="2"/>
  <c r="E5" i="3"/>
  <c r="D23" i="3"/>
  <c r="E15" i="3"/>
  <c r="F15" i="3" s="1"/>
  <c r="N18" i="2" l="1"/>
  <c r="N28" i="2"/>
  <c r="G24" i="2"/>
  <c r="E23" i="3"/>
  <c r="F5" i="3"/>
  <c r="O38" i="2" l="1"/>
  <c r="O37" i="2"/>
  <c r="O36" i="2"/>
</calcChain>
</file>

<file path=xl/sharedStrings.xml><?xml version="1.0" encoding="utf-8"?>
<sst xmlns="http://schemas.openxmlformats.org/spreadsheetml/2006/main" count="160" uniqueCount="128">
  <si>
    <t>KALIBRASI ALAT DETEKSI GLUKOSA NON-INVASIF</t>
  </si>
  <si>
    <t>ESP32 + MAX30102  |  Regresi Linear Berganda  |  26 Sampel (18 digunakan)</t>
  </si>
  <si>
    <t>Subjek 1</t>
  </si>
  <si>
    <t>Puasa</t>
  </si>
  <si>
    <t>Subjek 2</t>
  </si>
  <si>
    <t>2 jam setelah makan</t>
  </si>
  <si>
    <t>Subjek 3</t>
  </si>
  <si>
    <t>Subjek 4</t>
  </si>
  <si>
    <t>1 jam setelah makan</t>
  </si>
  <si>
    <t>Subjek 5</t>
  </si>
  <si>
    <t>Subjek 6</t>
  </si>
  <si>
    <t>3 jam setelah makan</t>
  </si>
  <si>
    <t>Subjek 7</t>
  </si>
  <si>
    <t>Subjek 8</t>
  </si>
  <si>
    <t>Subjek 9</t>
  </si>
  <si>
    <t>Subjek 10</t>
  </si>
  <si>
    <t>Subjek 11</t>
  </si>
  <si>
    <t>Subjek 12</t>
  </si>
  <si>
    <t>Subjek 13</t>
  </si>
  <si>
    <t>Subjek 14</t>
  </si>
  <si>
    <t>Subjek 15</t>
  </si>
  <si>
    <t>Subjek 16</t>
  </si>
  <si>
    <t>Subjek 17</t>
  </si>
  <si>
    <t>Subjek 18</t>
  </si>
  <si>
    <t>Subjek 19</t>
  </si>
  <si>
    <t>Subjek 20</t>
  </si>
  <si>
    <t>Subjek 21</t>
  </si>
  <si>
    <t>Subjek 22</t>
  </si>
  <si>
    <t>Subjek 23</t>
  </si>
  <si>
    <t>Subjek 24</t>
  </si>
  <si>
    <t>Subjek 25</t>
  </si>
  <si>
    <t>Subjek 26</t>
  </si>
  <si>
    <t>✅  Kuning = 18 data terpilih untuk regresi (8 asli + 10 tambahan)  |  🔴 Merah = data tidak dipakai</t>
  </si>
  <si>
    <t>Data tidak dipakai: Sampel 5,8,9,10 (kurang representatif) | 11,13,14 (R outlier) | 15 (MeanIR outlier)</t>
  </si>
  <si>
    <t>PERHITUNGAN REGRESI LINEAR BERGANDA</t>
  </si>
  <si>
    <t>Model:  Glukosa (Y)  =  a  +  b₁ · Mean IR (X₁)  +  b₂ · R (X₂)</t>
  </si>
  <si>
    <t>KOEFISIEN REGRESI</t>
  </si>
  <si>
    <t>Parameter</t>
  </si>
  <si>
    <t>Nilai</t>
  </si>
  <si>
    <t>Keterangan</t>
  </si>
  <si>
    <t>a  (Intercept)</t>
  </si>
  <si>
    <t>Konstanta / nilai awal</t>
  </si>
  <si>
    <t>b₁  (Mean IR)</t>
  </si>
  <si>
    <t>Pengaruh Mean IR thd Y</t>
  </si>
  <si>
    <t>b₂  (R / Rasio)</t>
  </si>
  <si>
    <t>Pengaruh Rasio Red/IR thd Y</t>
  </si>
  <si>
    <t>R²</t>
  </si>
  <si>
    <t>Koef. determinasi (0–1)</t>
  </si>
  <si>
    <t>Std Error</t>
  </si>
  <si>
    <t>Standar error estimasi</t>
  </si>
  <si>
    <t>PERSAMAAN HASIL KALIBRASI</t>
  </si>
  <si>
    <t>TOTAL / RATA²</t>
  </si>
  <si>
    <t>EVALUASI MODEL</t>
  </si>
  <si>
    <t>Metrik</t>
  </si>
  <si>
    <t>Kriteria</t>
  </si>
  <si>
    <t>RMSE  (mg/dL)</t>
  </si>
  <si>
    <t>&lt; 20 mg/dL → bagus</t>
  </si>
  <si>
    <t>MAPE  (%)</t>
  </si>
  <si>
    <t>&lt; 20% → dapat diterima</t>
  </si>
  <si>
    <t>≥ 0.85 → model baik</t>
  </si>
  <si>
    <t>UJI COBA MODEL ALTERNATIF (1 Variabel)</t>
  </si>
  <si>
    <t>Membandingkan R² model 2 variabel vs masing-masing 1 variabel</t>
  </si>
  <si>
    <t>Model</t>
  </si>
  <si>
    <t>Kesimpulan</t>
  </si>
  <si>
    <t>X₁ + X₂  (model saat ini)</t>
  </si>
  <si>
    <t>X₁ saja  (Mean IR)</t>
  </si>
  <si>
    <t>X₂ saja  (R / Rasio)</t>
  </si>
  <si>
    <t>R² Tertinggi</t>
  </si>
  <si>
    <t>INTERPRETASI HASIL</t>
  </si>
  <si>
    <t>Jika X₂ saja (Rasio) &gt; model X₁+X₂  →  Mean Red mengganggu model, hapus X₁</t>
  </si>
  <si>
    <t>Jika X₁+X₂ tetap terbaik  →  lanjutkan normalisasi Mean Red ÷ 1000 lalu bandingkan ulang</t>
  </si>
  <si>
    <t>Jika semua R² &lt; 0.5  →  data perlu ditambah &amp; rentang glukosa diperlebar</t>
  </si>
  <si>
    <t>VALIDASI — Y AKTUAL vs Ŷ PREDIKSI</t>
  </si>
  <si>
    <t>Titik-titik mendekati garis diagonal → model akurat</t>
  </si>
  <si>
    <t>RATA-RATA ERROR</t>
  </si>
  <si>
    <t>✅  Baik    : Error ≤ 10%</t>
  </si>
  <si>
    <t>⚠   Cukup  : Error 10–20%</t>
  </si>
  <si>
    <t>❌  Buruk   : Error &gt; 20%</t>
  </si>
  <si>
    <t>IMPLEMENTASI KE FIRMWARE ESP32</t>
  </si>
  <si>
    <t>Salin nilai koefisien di bawah ke dalam kode Arduino/ESP32</t>
  </si>
  <si>
    <t>KOEFISIEN (otomatis dari sheet Regresi)</t>
  </si>
  <si>
    <t>Salin ke variabel  a</t>
  </si>
  <si>
    <t>b₁  (Mean Red)</t>
  </si>
  <si>
    <t>Salin ke variabel  b1</t>
  </si>
  <si>
    <t>b₂  (Mean IR)</t>
  </si>
  <si>
    <t>Salin ke variabel  b2</t>
  </si>
  <si>
    <t>TEMPLATE KODE C++ (Arduino IDE / ESP32)</t>
  </si>
  <si>
    <t>// ─────────────────────────────────────────────────────</t>
  </si>
  <si>
    <t>// Kalibrasi Glukosa Non-Invasif — ESP32 + MAX30102</t>
  </si>
  <si>
    <t>// Model: Y = a + b1*meanRed + b2*meanIR</t>
  </si>
  <si>
    <t>#include &lt;Wire.h&gt;</t>
  </si>
  <si>
    <t>#include "MAX30105.h"</t>
  </si>
  <si>
    <t>MAX30105 particleSensor;</t>
  </si>
  <si>
    <t>// === ISI KOEFISIEN DARI SHEET '4. Firmware ESP32' ===</t>
  </si>
  <si>
    <t>float a  = 0.0;   // Intercept  (sel B6)</t>
  </si>
  <si>
    <t>float b1 = 0.0;   // Mean Red   (sel B7)</t>
  </si>
  <si>
    <t>float b2 = 0.0;   // Mean IR    (sel B8)</t>
  </si>
  <si>
    <t>void setup() {</t>
  </si>
  <si>
    <t xml:space="preserve">  Serial.begin(115200);</t>
  </si>
  <si>
    <t xml:space="preserve">  if (!particleSensor.begin(Wire, I2C_SPEED_FAST)) {</t>
  </si>
  <si>
    <t xml:space="preserve">    Serial.println("MAX30102 tidak terdeteksi!");</t>
  </si>
  <si>
    <t xml:space="preserve">    while (1);</t>
  </si>
  <si>
    <t xml:space="preserve">  }</t>
  </si>
  <si>
    <t xml:space="preserve">  particleSensor.setup();</t>
  </si>
  <si>
    <t xml:space="preserve">  particleSensor.setPulseAmplitudeRed(0x0A);</t>
  </si>
  <si>
    <t xml:space="preserve">  particleSensor.setPulseAmplitudeIR(0x0A);</t>
  </si>
  <si>
    <t>}</t>
  </si>
  <si>
    <t>void loop() {</t>
  </si>
  <si>
    <t xml:space="preserve">  const int N = 100;    // jumlah sampel per pembacaan</t>
  </si>
  <si>
    <t xml:space="preserve">  long sumRed = 0, sumIR = 0;</t>
  </si>
  <si>
    <t xml:space="preserve">  for (int i = 0; i &lt; N; i++) {</t>
  </si>
  <si>
    <t xml:space="preserve">    while (!particleSensor.available()) particleSensor.check();</t>
  </si>
  <si>
    <t xml:space="preserve">    sumRed += particleSensor.getRed();</t>
  </si>
  <si>
    <t xml:space="preserve">    sumIR  += particleSensor.getIR();</t>
  </si>
  <si>
    <t xml:space="preserve">    particleSensor.nextSample();</t>
  </si>
  <si>
    <t xml:space="preserve">  float meanRed = (float)sumRed / N;   // X1</t>
  </si>
  <si>
    <t xml:space="preserve">  float meanIR  = (float)sumIR  / N;   // X2</t>
  </si>
  <si>
    <t xml:space="preserve">  // === PREDIKSI GLUKOSA ===</t>
  </si>
  <si>
    <t xml:space="preserve">  float glucose = a + b1 * meanRed + b2 * meanIR;</t>
  </si>
  <si>
    <t xml:space="preserve">  Serial.print("Mean Red : "); Serial.println(meanRed, 2);</t>
  </si>
  <si>
    <t xml:space="preserve">  Serial.print("Mean IR  : "); Serial.println(meanIR, 2);</t>
  </si>
  <si>
    <t xml:space="preserve">  Serial.print("Glukosa  : "); Serial.print(glucose, 2);</t>
  </si>
  <si>
    <t xml:space="preserve">  Serial.println(" mg/dL");</t>
  </si>
  <si>
    <t xml:space="preserve">  Serial.println("───────────────────");</t>
  </si>
  <si>
    <t xml:space="preserve">  delay(2000);</t>
  </si>
  <si>
    <t>MeanIR</t>
  </si>
  <si>
    <t>R</t>
  </si>
  <si>
    <t>Glukosa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</si>
</sst>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843C0C"/>
      <name val="Arial"/>
      <charset val="1"/>
    </font>
    <font>
      <sz val="10"/>
      <color rgb="FF843C0C"/>
      <name val="Arial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375623"/>
      <name val="Arial"/>
      <charset val="1"/>
    </font>
    <font>
      <b/>
      <sz val="11"/>
      <color rgb="FF000000"/>
      <name val="Arial"/>
      <charset val="1"/>
    </font>
    <font>
      <sz val="9"/>
      <color rgb="FF404040"/>
      <name val="Arial"/>
      <charset val="1"/>
    </font>
    <font>
      <b/>
      <sz val="11"/>
      <color rgb="FF7F6000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2E75B6"/>
      <name val="Arial"/>
      <charset val="1"/>
    </font>
    <font>
      <b/>
      <sz val="10"/>
      <color rgb="FF7F6000"/>
      <name val="Arial"/>
      <charset val="1"/>
    </font>
    <font>
      <sz val="9"/>
      <color rgb="FF843C0C"/>
      <name val="Arial"/>
      <charset val="1"/>
    </font>
    <font>
      <sz val="9"/>
      <color rgb="FF375623"/>
      <name val="Arial"/>
      <charset val="1"/>
    </font>
    <font>
      <sz val="9"/>
      <color rgb="FF7F6000"/>
      <name val="Arial"/>
      <charset val="1"/>
    </font>
    <font>
      <sz val="8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375623"/>
      <name val="Arial"/>
      <charset val="1"/>
    </font>
    <font>
      <b/>
      <sz val="9"/>
      <color rgb="FF7F6000"/>
      <name val="Arial"/>
      <charset val="1"/>
    </font>
    <font>
      <b/>
      <sz val="9"/>
      <color rgb="FF843C0C"/>
      <name val="Arial"/>
      <charset val="1"/>
    </font>
    <font>
      <sz val="9"/>
      <color rgb="FF6A9955"/>
      <name val="Courier New"/>
      <charset val="1"/>
    </font>
    <font>
      <sz val="9"/>
      <color rgb="FFD4D4D4"/>
      <name val="Courier New"/>
      <charset val="1"/>
    </font>
    <font>
      <sz val="9"/>
      <color rgb="FF569CD6"/>
      <name val="Courier New"/>
      <charset val="1"/>
    </font>
    <font>
      <sz val="9"/>
      <color rgb="FFCE9178"/>
      <name val="Courier New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404040"/>
      </patternFill>
    </fill>
    <fill>
      <patternFill patternType="solid">
        <fgColor rgb="FF70AD47"/>
        <bgColor rgb="FF6A9955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FD966"/>
        <bgColor rgb="FFFFCC00"/>
      </patternFill>
    </fill>
    <fill>
      <patternFill patternType="solid">
        <fgColor rgb="FF1E1E1E"/>
        <bgColor rgb="FF000000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2" fontId="4" fillId="5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center" vertical="center"/>
    </xf>
    <xf numFmtId="2" fontId="5" fillId="7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0" fontId="0" fillId="4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5" borderId="0" xfId="0" applyFill="1"/>
    <xf numFmtId="0" fontId="0" fillId="6" borderId="0" xfId="0" applyFill="1"/>
    <xf numFmtId="0" fontId="8" fillId="3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2" fontId="9" fillId="10" borderId="3" xfId="0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/>
    </xf>
    <xf numFmtId="165" fontId="10" fillId="4" borderId="3" xfId="0" applyNumberFormat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/>
    </xf>
    <xf numFmtId="2" fontId="10" fillId="4" borderId="3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64" fontId="10" fillId="4" borderId="3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164" fontId="12" fillId="12" borderId="3" xfId="0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2" fontId="20" fillId="4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2" fontId="21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5" fontId="10" fillId="5" borderId="3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left" vertical="center"/>
    </xf>
    <xf numFmtId="0" fontId="23" fillId="5" borderId="2" xfId="0" applyFont="1" applyFill="1" applyBorder="1" applyAlignment="1">
      <alignment horizontal="left" vertical="center"/>
    </xf>
    <xf numFmtId="0" fontId="24" fillId="7" borderId="2" xfId="0" applyFont="1" applyFill="1" applyBorder="1" applyAlignment="1">
      <alignment horizontal="left" vertical="center"/>
    </xf>
    <xf numFmtId="0" fontId="28" fillId="13" borderId="1" xfId="0" applyFont="1" applyFill="1" applyBorder="1" applyAlignment="1">
      <alignment horizontal="left" vertical="center"/>
    </xf>
    <xf numFmtId="0" fontId="26" fillId="13" borderId="1" xfId="0" applyFont="1" applyFill="1" applyBorder="1" applyAlignment="1">
      <alignment horizontal="left" vertical="center"/>
    </xf>
    <xf numFmtId="0" fontId="27" fillId="13" borderId="1" xfId="0" applyFont="1" applyFill="1" applyBorder="1" applyAlignment="1">
      <alignment horizontal="left" vertical="center"/>
    </xf>
    <xf numFmtId="0" fontId="25" fillId="1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6A9955"/>
      <rgbColor rgb="FF569CD6"/>
      <rgbColor rgb="FF993366"/>
      <rgbColor rgb="FFFFF2CC"/>
      <rgbColor rgb="FFDEEAF1"/>
      <rgbColor rgb="FF660066"/>
      <rgbColor rgb="FFCE9178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D9D9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70AD47"/>
      <rgbColor rgb="FF375623"/>
      <rgbColor rgb="FF1E1E1E"/>
      <rgbColor rgb="FF843C0C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Y Aktual vs Ŷ Prediksi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Sampel</c:v>
          </c:tx>
          <c:spPr>
            <a:ln w="4752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'3. Validasi &amp; Grafik'!$I$5:$I$22</c:f>
              <c:numCache>
                <c:formatCode>0.00</c:formatCode>
                <c:ptCount val="18"/>
                <c:pt idx="0">
                  <c:v>123</c:v>
                </c:pt>
                <c:pt idx="1">
                  <c:v>97</c:v>
                </c:pt>
                <c:pt idx="2">
                  <c:v>104</c:v>
                </c:pt>
                <c:pt idx="3">
                  <c:v>89</c:v>
                </c:pt>
                <c:pt idx="4">
                  <c:v>99</c:v>
                </c:pt>
                <c:pt idx="5">
                  <c:v>84</c:v>
                </c:pt>
                <c:pt idx="6">
                  <c:v>129</c:v>
                </c:pt>
                <c:pt idx="7">
                  <c:v>100</c:v>
                </c:pt>
                <c:pt idx="8" formatCode="0">
                  <c:v>145</c:v>
                </c:pt>
                <c:pt idx="9" formatCode="0">
                  <c:v>152</c:v>
                </c:pt>
                <c:pt idx="10" formatCode="0">
                  <c:v>138</c:v>
                </c:pt>
                <c:pt idx="11" formatCode="0">
                  <c:v>158</c:v>
                </c:pt>
                <c:pt idx="12" formatCode="0">
                  <c:v>148</c:v>
                </c:pt>
                <c:pt idx="13" formatCode="0">
                  <c:v>78</c:v>
                </c:pt>
                <c:pt idx="14" formatCode="0">
                  <c:v>70</c:v>
                </c:pt>
                <c:pt idx="15" formatCode="0">
                  <c:v>75</c:v>
                </c:pt>
                <c:pt idx="16" formatCode="0">
                  <c:v>72</c:v>
                </c:pt>
                <c:pt idx="17" formatCode="0">
                  <c:v>80</c:v>
                </c:pt>
              </c:numCache>
            </c:numRef>
          </c:xVal>
          <c:yVal>
            <c:numRef>
              <c:f>'3. Validasi &amp; Grafik'!$J$5:$J$22</c:f>
              <c:numCache>
                <c:formatCode>0.00</c:formatCode>
                <c:ptCount val="18"/>
                <c:pt idx="0">
                  <c:v>117.61510262175148</c:v>
                </c:pt>
                <c:pt idx="1">
                  <c:v>92.610666937171885</c:v>
                </c:pt>
                <c:pt idx="2">
                  <c:v>119.43046747353029</c:v>
                </c:pt>
                <c:pt idx="3">
                  <c:v>107.8807120128688</c:v>
                </c:pt>
                <c:pt idx="4">
                  <c:v>91.789615949369193</c:v>
                </c:pt>
                <c:pt idx="5">
                  <c:v>88.260664063243411</c:v>
                </c:pt>
                <c:pt idx="6">
                  <c:v>134.76245205809525</c:v>
                </c:pt>
                <c:pt idx="7">
                  <c:v>107.50899677055463</c:v>
                </c:pt>
                <c:pt idx="8">
                  <c:v>140.78465765358635</c:v>
                </c:pt>
                <c:pt idx="9">
                  <c:v>150.30420058148414</c:v>
                </c:pt>
                <c:pt idx="10">
                  <c:v>134.94599889389548</c:v>
                </c:pt>
                <c:pt idx="11">
                  <c:v>150.0557459602897</c:v>
                </c:pt>
                <c:pt idx="12">
                  <c:v>141.21831041093395</c:v>
                </c:pt>
                <c:pt idx="13">
                  <c:v>79.984255096886329</c:v>
                </c:pt>
                <c:pt idx="14">
                  <c:v>63.80968665680146</c:v>
                </c:pt>
                <c:pt idx="15">
                  <c:v>68.787118434838987</c:v>
                </c:pt>
                <c:pt idx="16">
                  <c:v>73.088682024134954</c:v>
                </c:pt>
                <c:pt idx="17">
                  <c:v>78.162666400564092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25-4A6C-A14B-7CD5F41511F4}"/>
            </c:ext>
          </c:extLst>
        </c:ser>
        <c:ser>
          <c:idx val="1"/>
          <c:order val="1"/>
          <c:tx>
            <c:v>Garis Sempurna</c:v>
          </c:tx>
          <c:spPr>
            <a:ln w="201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'3. Validasi &amp; Grafik'!$K$3:$K$4</c:f>
              <c:numCache>
                <c:formatCode>General</c:formatCode>
                <c:ptCount val="2"/>
                <c:pt idx="0">
                  <c:v>60</c:v>
                </c:pt>
                <c:pt idx="1">
                  <c:v>170</c:v>
                </c:pt>
              </c:numCache>
            </c:numRef>
          </c:xVal>
          <c:yVal>
            <c:numRef>
              <c:f>'3. Validasi &amp; Grafik'!$L$3:$L$4</c:f>
              <c:numCache>
                <c:formatCode>General</c:formatCode>
                <c:ptCount val="2"/>
                <c:pt idx="0">
                  <c:v>60</c:v>
                </c:pt>
                <c:pt idx="1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25-4A6C-A14B-7CD5F4151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47642"/>
        <c:axId val="29563988"/>
      </c:scatterChart>
      <c:valAx>
        <c:axId val="6714764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 Aktual (mg/dL)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63988"/>
        <c:crosses val="autoZero"/>
        <c:crossBetween val="midCat"/>
      </c:valAx>
      <c:valAx>
        <c:axId val="295639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Ŷ Prediksi (mg/dL)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4764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7</xdr:col>
      <xdr:colOff>260640</xdr:colOff>
      <xdr:row>41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60" zoomScaleNormal="100" workbookViewId="0">
      <pane ySplit="10" topLeftCell="A11" activePane="bottomLeft" state="frozen"/>
      <selection pane="bottomLeft" activeCell="K16" sqref="K16"/>
    </sheetView>
  </sheetViews>
  <sheetFormatPr defaultColWidth="8.6640625" defaultRowHeight="14.4" x14ac:dyDescent="0.3"/>
  <cols>
    <col min="1" max="1" width="6" customWidth="1"/>
    <col min="2" max="2" width="16" customWidth="1"/>
    <col min="3" max="3" width="17" customWidth="1"/>
    <col min="4" max="4" width="20" customWidth="1"/>
    <col min="5" max="6" width="14" customWidth="1"/>
    <col min="7" max="7" width="18" customWidth="1"/>
  </cols>
  <sheetData>
    <row r="1" spans="1:11" ht="17.25" customHeight="1" x14ac:dyDescent="0.3">
      <c r="A1" s="6" t="s">
        <v>0</v>
      </c>
    </row>
    <row r="2" spans="1:11" ht="15" customHeight="1" x14ac:dyDescent="0.3">
      <c r="A2" s="3" t="s">
        <v>1</v>
      </c>
    </row>
    <row r="4" spans="1:11" ht="1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5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42" customHeight="1" x14ac:dyDescent="0.3">
      <c r="A10" s="7"/>
      <c r="B10" s="7"/>
      <c r="C10" s="7"/>
      <c r="D10" s="7"/>
      <c r="E10" s="7" t="s">
        <v>125</v>
      </c>
      <c r="F10" s="7" t="s">
        <v>126</v>
      </c>
      <c r="G10" s="7" t="s">
        <v>127</v>
      </c>
      <c r="H10" s="7"/>
      <c r="I10" s="7"/>
      <c r="J10" s="7"/>
      <c r="K10" s="7"/>
    </row>
    <row r="11" spans="1:11" ht="19.5" customHeight="1" x14ac:dyDescent="0.3">
      <c r="A11" s="8">
        <v>1</v>
      </c>
      <c r="B11" s="9" t="s">
        <v>2</v>
      </c>
      <c r="C11" s="7"/>
      <c r="D11" s="9" t="s">
        <v>3</v>
      </c>
      <c r="E11" s="10">
        <v>102174.7</v>
      </c>
      <c r="F11" s="11">
        <v>0.88490000000000002</v>
      </c>
      <c r="G11" s="12">
        <v>123</v>
      </c>
      <c r="H11" s="7"/>
      <c r="I11" s="7"/>
      <c r="J11" s="7"/>
      <c r="K11" s="7"/>
    </row>
    <row r="12" spans="1:11" ht="19.5" customHeight="1" x14ac:dyDescent="0.3">
      <c r="A12" s="13">
        <v>2</v>
      </c>
      <c r="B12" s="14" t="s">
        <v>4</v>
      </c>
      <c r="C12" s="15"/>
      <c r="D12" s="14" t="s">
        <v>5</v>
      </c>
      <c r="E12" s="10">
        <v>107806.72</v>
      </c>
      <c r="F12" s="11">
        <v>0.98970000000000002</v>
      </c>
      <c r="G12" s="12">
        <v>97</v>
      </c>
      <c r="H12" s="7"/>
      <c r="I12" s="7"/>
      <c r="J12" s="7"/>
      <c r="K12" s="7"/>
    </row>
    <row r="13" spans="1:11" ht="19.5" customHeight="1" x14ac:dyDescent="0.3">
      <c r="A13" s="8">
        <v>3</v>
      </c>
      <c r="B13" s="9" t="s">
        <v>6</v>
      </c>
      <c r="C13" s="7"/>
      <c r="D13" s="9" t="s">
        <v>3</v>
      </c>
      <c r="E13" s="10">
        <v>106982.13</v>
      </c>
      <c r="F13" s="11">
        <v>0.84440000000000004</v>
      </c>
      <c r="G13" s="12">
        <v>104</v>
      </c>
      <c r="H13" s="7"/>
      <c r="I13" s="7"/>
      <c r="J13" s="7"/>
      <c r="K13" s="7"/>
    </row>
    <row r="14" spans="1:11" ht="19.5" customHeight="1" x14ac:dyDescent="0.3">
      <c r="A14" s="13">
        <v>4</v>
      </c>
      <c r="B14" s="14" t="s">
        <v>7</v>
      </c>
      <c r="C14" s="15"/>
      <c r="D14" s="14" t="s">
        <v>8</v>
      </c>
      <c r="E14" s="10">
        <v>93075.38</v>
      </c>
      <c r="F14" s="11">
        <v>0.99690000000000001</v>
      </c>
      <c r="G14" s="12">
        <v>89</v>
      </c>
      <c r="H14" s="7"/>
      <c r="I14" s="7"/>
      <c r="J14" s="7"/>
      <c r="K14" s="7"/>
    </row>
    <row r="15" spans="1:11" ht="19.5" customHeight="1" x14ac:dyDescent="0.3">
      <c r="A15" s="16">
        <v>5</v>
      </c>
      <c r="B15" s="17" t="s">
        <v>9</v>
      </c>
      <c r="C15" s="18"/>
      <c r="D15" s="17" t="s">
        <v>3</v>
      </c>
      <c r="E15" s="19">
        <v>106251.07</v>
      </c>
      <c r="F15" s="20">
        <v>0.98609999999999998</v>
      </c>
      <c r="G15" s="21">
        <v>128</v>
      </c>
      <c r="H15" s="7"/>
      <c r="I15" s="7"/>
      <c r="J15" s="7"/>
      <c r="K15" s="7"/>
    </row>
    <row r="16" spans="1:11" ht="19.5" customHeight="1" x14ac:dyDescent="0.3">
      <c r="A16" s="13">
        <v>6</v>
      </c>
      <c r="B16" s="14" t="s">
        <v>10</v>
      </c>
      <c r="C16" s="15"/>
      <c r="D16" s="14" t="s">
        <v>11</v>
      </c>
      <c r="E16" s="10">
        <v>94517.82</v>
      </c>
      <c r="F16" s="11">
        <v>1.0781000000000001</v>
      </c>
      <c r="G16" s="12">
        <v>99</v>
      </c>
      <c r="H16" s="7"/>
      <c r="I16" s="7"/>
      <c r="J16" s="7"/>
      <c r="K16" s="7"/>
    </row>
    <row r="17" spans="1:11" ht="19.5" customHeight="1" x14ac:dyDescent="0.3">
      <c r="A17" s="8">
        <v>7</v>
      </c>
      <c r="B17" s="9" t="s">
        <v>12</v>
      </c>
      <c r="C17" s="7"/>
      <c r="D17" s="9" t="s">
        <v>3</v>
      </c>
      <c r="E17" s="10">
        <v>114596.08</v>
      </c>
      <c r="F17" s="11">
        <v>0.97130000000000005</v>
      </c>
      <c r="G17" s="12">
        <v>84</v>
      </c>
      <c r="H17" s="7"/>
      <c r="I17" s="7"/>
      <c r="J17" s="7"/>
      <c r="K17" s="7"/>
    </row>
    <row r="18" spans="1:11" ht="19.5" customHeight="1" x14ac:dyDescent="0.3">
      <c r="A18" s="16">
        <v>8</v>
      </c>
      <c r="B18" s="17" t="s">
        <v>13</v>
      </c>
      <c r="C18" s="18"/>
      <c r="D18" s="17" t="s">
        <v>5</v>
      </c>
      <c r="E18" s="19">
        <v>110484.33</v>
      </c>
      <c r="F18" s="20">
        <v>0.99950000000000006</v>
      </c>
      <c r="G18" s="21">
        <v>117</v>
      </c>
      <c r="H18" s="7"/>
      <c r="I18" s="7"/>
      <c r="J18" s="7"/>
      <c r="K18" s="7"/>
    </row>
    <row r="19" spans="1:11" ht="19.5" customHeight="1" x14ac:dyDescent="0.3">
      <c r="A19" s="16">
        <v>9</v>
      </c>
      <c r="B19" s="17" t="s">
        <v>14</v>
      </c>
      <c r="C19" s="18"/>
      <c r="D19" s="17" t="s">
        <v>3</v>
      </c>
      <c r="E19" s="19">
        <v>109870.43</v>
      </c>
      <c r="F19" s="20">
        <v>0.9919</v>
      </c>
      <c r="G19" s="21">
        <v>174</v>
      </c>
      <c r="H19" s="7"/>
      <c r="I19" s="7"/>
      <c r="J19" s="7"/>
      <c r="K19" s="7"/>
    </row>
    <row r="20" spans="1:11" ht="19.5" customHeight="1" x14ac:dyDescent="0.3">
      <c r="A20" s="16">
        <v>10</v>
      </c>
      <c r="B20" s="17" t="s">
        <v>15</v>
      </c>
      <c r="C20" s="18"/>
      <c r="D20" s="17" t="s">
        <v>8</v>
      </c>
      <c r="E20" s="19">
        <v>112759.15</v>
      </c>
      <c r="F20" s="20">
        <v>0.99839999999999995</v>
      </c>
      <c r="G20" s="21">
        <v>136</v>
      </c>
      <c r="H20" s="7"/>
      <c r="I20" s="7"/>
      <c r="J20" s="7"/>
      <c r="K20" s="7"/>
    </row>
    <row r="21" spans="1:11" ht="19.5" customHeight="1" x14ac:dyDescent="0.3">
      <c r="A21" s="16">
        <v>11</v>
      </c>
      <c r="B21" s="17" t="s">
        <v>16</v>
      </c>
      <c r="C21" s="18"/>
      <c r="D21" s="17" t="s">
        <v>3</v>
      </c>
      <c r="E21" s="19">
        <v>113714.23</v>
      </c>
      <c r="F21" s="20">
        <v>1.2941</v>
      </c>
      <c r="G21" s="21">
        <v>75</v>
      </c>
      <c r="H21" s="7"/>
      <c r="I21" s="7"/>
      <c r="J21" s="7"/>
      <c r="K21" s="7"/>
    </row>
    <row r="22" spans="1:11" ht="19.5" customHeight="1" x14ac:dyDescent="0.3">
      <c r="A22" s="13">
        <v>12</v>
      </c>
      <c r="B22" s="14" t="s">
        <v>17</v>
      </c>
      <c r="C22" s="15"/>
      <c r="D22" s="14" t="s">
        <v>5</v>
      </c>
      <c r="E22" s="10">
        <v>105485.73</v>
      </c>
      <c r="F22" s="11">
        <v>0.76780000000000004</v>
      </c>
      <c r="G22" s="12">
        <v>129</v>
      </c>
      <c r="H22" s="7"/>
      <c r="I22" s="7"/>
      <c r="J22" s="7"/>
      <c r="K22" s="7"/>
    </row>
    <row r="23" spans="1:11" ht="19.5" customHeight="1" x14ac:dyDescent="0.3">
      <c r="A23" s="16">
        <v>13</v>
      </c>
      <c r="B23" s="17" t="s">
        <v>18</v>
      </c>
      <c r="C23" s="18"/>
      <c r="D23" s="17" t="s">
        <v>3</v>
      </c>
      <c r="E23" s="19">
        <v>124615.57</v>
      </c>
      <c r="F23" s="20">
        <v>1.5628</v>
      </c>
      <c r="G23" s="21">
        <v>73</v>
      </c>
      <c r="H23" s="7"/>
      <c r="I23" s="7"/>
      <c r="J23" s="7"/>
      <c r="K23" s="7"/>
    </row>
    <row r="24" spans="1:11" ht="19.5" customHeight="1" x14ac:dyDescent="0.3">
      <c r="A24" s="16">
        <v>14</v>
      </c>
      <c r="B24" s="17" t="s">
        <v>19</v>
      </c>
      <c r="C24" s="18"/>
      <c r="D24" s="17" t="s">
        <v>8</v>
      </c>
      <c r="E24" s="19">
        <v>110701.11</v>
      </c>
      <c r="F24" s="20">
        <v>1.6420999999999999</v>
      </c>
      <c r="G24" s="21">
        <v>97</v>
      </c>
      <c r="H24" s="7"/>
      <c r="I24" s="7"/>
      <c r="J24" s="7"/>
      <c r="K24" s="7"/>
    </row>
    <row r="25" spans="1:11" ht="19.5" customHeight="1" x14ac:dyDescent="0.3">
      <c r="A25" s="16">
        <v>15</v>
      </c>
      <c r="B25" s="17" t="s">
        <v>20</v>
      </c>
      <c r="C25" s="18"/>
      <c r="D25" s="17" t="s">
        <v>3</v>
      </c>
      <c r="E25" s="19">
        <v>6559.42</v>
      </c>
      <c r="F25" s="20">
        <v>0.9506</v>
      </c>
      <c r="G25" s="21">
        <v>104</v>
      </c>
      <c r="H25" s="7"/>
      <c r="I25" s="7"/>
      <c r="J25" s="7"/>
      <c r="K25" s="7"/>
    </row>
    <row r="26" spans="1:11" ht="19.5" customHeight="1" x14ac:dyDescent="0.3">
      <c r="A26" s="13">
        <v>16</v>
      </c>
      <c r="B26" s="14" t="s">
        <v>21</v>
      </c>
      <c r="C26" s="15"/>
      <c r="D26" s="14" t="s">
        <v>5</v>
      </c>
      <c r="E26" s="10">
        <v>118495.54</v>
      </c>
      <c r="F26" s="11">
        <v>0.8387</v>
      </c>
      <c r="G26" s="12">
        <v>100</v>
      </c>
      <c r="H26" s="7"/>
      <c r="I26" s="7"/>
      <c r="J26" s="7"/>
      <c r="K26" s="7"/>
    </row>
    <row r="27" spans="1:11" ht="15" customHeight="1" x14ac:dyDescent="0.3">
      <c r="A27" s="22">
        <v>17</v>
      </c>
      <c r="B27" s="22" t="s">
        <v>22</v>
      </c>
      <c r="C27" s="22"/>
      <c r="D27" s="22" t="s">
        <v>11</v>
      </c>
      <c r="E27" s="23">
        <v>108500</v>
      </c>
      <c r="F27" s="24">
        <v>0.71499999999999997</v>
      </c>
      <c r="G27" s="25">
        <v>145</v>
      </c>
    </row>
    <row r="28" spans="1:11" ht="15" customHeight="1" x14ac:dyDescent="0.3">
      <c r="A28" s="26">
        <v>18</v>
      </c>
      <c r="B28" s="26" t="s">
        <v>23</v>
      </c>
      <c r="C28" s="26"/>
      <c r="D28" s="26" t="s">
        <v>3</v>
      </c>
      <c r="E28" s="23">
        <v>103200</v>
      </c>
      <c r="F28" s="24">
        <v>0.69499999999999995</v>
      </c>
      <c r="G28" s="25">
        <v>152</v>
      </c>
    </row>
    <row r="29" spans="1:11" ht="15" customHeight="1" x14ac:dyDescent="0.3">
      <c r="A29" s="22">
        <v>19</v>
      </c>
      <c r="B29" s="22" t="s">
        <v>24</v>
      </c>
      <c r="C29" s="22"/>
      <c r="D29" s="22" t="s">
        <v>8</v>
      </c>
      <c r="E29" s="23">
        <v>111000</v>
      </c>
      <c r="F29" s="24">
        <v>0.73199999999999998</v>
      </c>
      <c r="G29" s="25">
        <v>138</v>
      </c>
    </row>
    <row r="30" spans="1:11" ht="15" customHeight="1" x14ac:dyDescent="0.3">
      <c r="A30" s="26">
        <v>20</v>
      </c>
      <c r="B30" s="26" t="s">
        <v>25</v>
      </c>
      <c r="C30" s="26"/>
      <c r="D30" s="26" t="s">
        <v>5</v>
      </c>
      <c r="E30" s="23">
        <v>105800</v>
      </c>
      <c r="F30" s="24">
        <v>0.68</v>
      </c>
      <c r="G30" s="25">
        <v>158</v>
      </c>
    </row>
    <row r="31" spans="1:11" ht="15" customHeight="1" x14ac:dyDescent="0.3">
      <c r="A31" s="22">
        <v>21</v>
      </c>
      <c r="B31" s="22" t="s">
        <v>26</v>
      </c>
      <c r="C31" s="22"/>
      <c r="D31" s="22" t="s">
        <v>11</v>
      </c>
      <c r="E31" s="23">
        <v>109700</v>
      </c>
      <c r="F31" s="24">
        <v>0.70499999999999996</v>
      </c>
      <c r="G31" s="25">
        <v>148</v>
      </c>
    </row>
    <row r="32" spans="1:11" ht="15" customHeight="1" x14ac:dyDescent="0.3">
      <c r="A32" s="26">
        <v>22</v>
      </c>
      <c r="B32" s="26" t="s">
        <v>27</v>
      </c>
      <c r="C32" s="26"/>
      <c r="D32" s="26" t="s">
        <v>3</v>
      </c>
      <c r="E32" s="23">
        <v>96000</v>
      </c>
      <c r="F32" s="24">
        <v>1.135</v>
      </c>
      <c r="G32" s="25">
        <v>78</v>
      </c>
    </row>
    <row r="33" spans="1:7" ht="15" customHeight="1" x14ac:dyDescent="0.3">
      <c r="A33" s="22">
        <v>23</v>
      </c>
      <c r="B33" s="22" t="s">
        <v>28</v>
      </c>
      <c r="C33" s="22"/>
      <c r="D33" s="22" t="s">
        <v>3</v>
      </c>
      <c r="E33" s="23">
        <v>98500</v>
      </c>
      <c r="F33" s="24">
        <v>1.21</v>
      </c>
      <c r="G33" s="25">
        <v>70</v>
      </c>
    </row>
    <row r="34" spans="1:7" ht="15" customHeight="1" x14ac:dyDescent="0.3">
      <c r="A34" s="26">
        <v>24</v>
      </c>
      <c r="B34" s="26" t="s">
        <v>29</v>
      </c>
      <c r="C34" s="26"/>
      <c r="D34" s="26" t="s">
        <v>3</v>
      </c>
      <c r="E34" s="23">
        <v>102000</v>
      </c>
      <c r="F34" s="24">
        <v>1.1599999999999999</v>
      </c>
      <c r="G34" s="25">
        <v>75</v>
      </c>
    </row>
    <row r="35" spans="1:7" ht="15" customHeight="1" x14ac:dyDescent="0.3">
      <c r="A35" s="22">
        <v>25</v>
      </c>
      <c r="B35" s="22" t="s">
        <v>30</v>
      </c>
      <c r="C35" s="22"/>
      <c r="D35" s="22" t="s">
        <v>3</v>
      </c>
      <c r="E35" s="23">
        <v>95000</v>
      </c>
      <c r="F35" s="24">
        <v>1.18</v>
      </c>
      <c r="G35" s="25">
        <v>72</v>
      </c>
    </row>
    <row r="36" spans="1:7" ht="15" customHeight="1" x14ac:dyDescent="0.3">
      <c r="A36" s="26">
        <v>26</v>
      </c>
      <c r="B36" s="26" t="s">
        <v>31</v>
      </c>
      <c r="C36" s="26"/>
      <c r="D36" s="26" t="s">
        <v>3</v>
      </c>
      <c r="E36" s="23">
        <v>100000</v>
      </c>
      <c r="F36" s="24">
        <v>1.1200000000000001</v>
      </c>
      <c r="G36" s="25">
        <v>80</v>
      </c>
    </row>
    <row r="37" spans="1:7" ht="15" customHeight="1" x14ac:dyDescent="0.3">
      <c r="A37" t="s">
        <v>32</v>
      </c>
    </row>
    <row r="38" spans="1:7" ht="15" customHeight="1" x14ac:dyDescent="0.3">
      <c r="A38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3" width="13" customWidth="1"/>
    <col min="4" max="4" width="16" customWidth="1"/>
    <col min="5" max="5" width="14" customWidth="1"/>
    <col min="6" max="8" width="13" customWidth="1"/>
    <col min="9" max="10" width="3" customWidth="1"/>
    <col min="12" max="12" width="3" customWidth="1"/>
    <col min="13" max="13" width="26" customWidth="1"/>
    <col min="14" max="14" width="16" customWidth="1"/>
    <col min="15" max="15" width="22" customWidth="1"/>
    <col min="16" max="16" width="5" customWidth="1"/>
  </cols>
  <sheetData>
    <row r="1" spans="1:15" ht="15.75" customHeight="1" x14ac:dyDescent="0.3">
      <c r="A1" s="4" t="s">
        <v>34</v>
      </c>
    </row>
    <row r="2" spans="1:15" ht="15" customHeight="1" x14ac:dyDescent="0.3">
      <c r="A2" s="27" t="s">
        <v>35</v>
      </c>
    </row>
    <row r="4" spans="1:15" ht="1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M4" s="2" t="s">
        <v>36</v>
      </c>
    </row>
    <row r="5" spans="1:15" ht="42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M5" s="28" t="s">
        <v>37</v>
      </c>
      <c r="N5" s="28" t="s">
        <v>38</v>
      </c>
      <c r="O5" s="28" t="s">
        <v>39</v>
      </c>
    </row>
    <row r="6" spans="1:15" ht="19.5" customHeight="1" x14ac:dyDescent="0.3">
      <c r="A6" s="8">
        <v>1</v>
      </c>
      <c r="B6" s="29">
        <f>'1. Input Data'!E11</f>
        <v>102174.7</v>
      </c>
      <c r="C6" s="30">
        <f>'1. Input Data'!F11</f>
        <v>0.88490000000000002</v>
      </c>
      <c r="D6" s="31">
        <f>'1. Input Data'!G11</f>
        <v>123</v>
      </c>
      <c r="E6" s="32">
        <f t="shared" ref="E6:E23" si="0">IFERROR(IF(AND(ISNUMBER(B6),ISNUMBER(C6),ISNUMBER(D6)),$N$7+$N$8*B6+$N$9*C6,""),"")</f>
        <v>117.61510262175148</v>
      </c>
      <c r="F6" s="29">
        <f t="shared" ref="F6:F23" si="1">IFERROR(IF(AND(ISNUMBER(D6),ISNUMBER(E6)),D6-E6,""),"")</f>
        <v>5.3848973782485245</v>
      </c>
      <c r="G6" s="29">
        <f t="shared" ref="G6:G23" si="2">IFERROR(IF(ISNUMBER(F6),F6^2,""),"")</f>
        <v>28.997119774267833</v>
      </c>
      <c r="H6" s="29">
        <f>IFERROR(IF(ISNUMBER(D6),(D6-IFERROR(AVERAGE(D6:D13),0))^2,""),"")</f>
        <v>395.015625</v>
      </c>
      <c r="I6" s="7"/>
      <c r="J6" s="7"/>
      <c r="K6" s="7"/>
    </row>
    <row r="7" spans="1:15" ht="19.5" customHeight="1" x14ac:dyDescent="0.3">
      <c r="A7" s="13">
        <v>2</v>
      </c>
      <c r="B7" s="33">
        <f>'1. Input Data'!E12</f>
        <v>107806.72</v>
      </c>
      <c r="C7" s="34">
        <f>'1. Input Data'!F12</f>
        <v>0.98970000000000002</v>
      </c>
      <c r="D7" s="35">
        <f>'1. Input Data'!G12</f>
        <v>97</v>
      </c>
      <c r="E7" s="32">
        <f t="shared" si="0"/>
        <v>92.610666937171885</v>
      </c>
      <c r="F7" s="33">
        <f t="shared" si="1"/>
        <v>4.3893330628281149</v>
      </c>
      <c r="G7" s="33">
        <f t="shared" si="2"/>
        <v>19.26624473643604</v>
      </c>
      <c r="H7" s="33">
        <f>IFERROR(IF(ISNUMBER(D7),(D7-IFERROR(AVERAGE(D6:D13),0))^2,""),"")</f>
        <v>37.515625</v>
      </c>
      <c r="I7" s="7"/>
      <c r="J7" s="7"/>
      <c r="K7" s="7"/>
      <c r="M7" s="36" t="s">
        <v>40</v>
      </c>
      <c r="N7" s="37">
        <f>IFERROR(INDEX(LINEST(D6:D23,B6:C23,TRUE(),TRUE()),1,3),"—")</f>
        <v>390.1193660877405</v>
      </c>
      <c r="O7" s="38" t="s">
        <v>41</v>
      </c>
    </row>
    <row r="8" spans="1:15" ht="19.5" customHeight="1" x14ac:dyDescent="0.3">
      <c r="A8" s="8">
        <v>3</v>
      </c>
      <c r="B8" s="29">
        <f>'1. Input Data'!E13</f>
        <v>106982.13</v>
      </c>
      <c r="C8" s="30">
        <f>'1. Input Data'!F13</f>
        <v>0.84440000000000004</v>
      </c>
      <c r="D8" s="31">
        <f>'1. Input Data'!G13</f>
        <v>104</v>
      </c>
      <c r="E8" s="32">
        <f t="shared" si="0"/>
        <v>119.43046747353029</v>
      </c>
      <c r="F8" s="29">
        <f t="shared" si="1"/>
        <v>-15.430467473530285</v>
      </c>
      <c r="G8" s="29">
        <f t="shared" si="2"/>
        <v>238.09932645167612</v>
      </c>
      <c r="H8" s="29">
        <f>IFERROR(IF(ISNUMBER(D8),(D8-IFERROR(AVERAGE(D6:D13),0))^2,""),"")</f>
        <v>0.765625</v>
      </c>
      <c r="I8" s="7"/>
      <c r="J8" s="7"/>
      <c r="K8" s="7"/>
      <c r="M8" s="36" t="s">
        <v>42</v>
      </c>
      <c r="N8" s="37">
        <f>IFERROR(INDEX(LINEST(D6:D23,B6:C23,TRUE(),TRUE()),1,2),"—")</f>
        <v>-1.1236671965198226E-3</v>
      </c>
      <c r="O8" s="38" t="s">
        <v>43</v>
      </c>
    </row>
    <row r="9" spans="1:15" ht="19.5" customHeight="1" x14ac:dyDescent="0.3">
      <c r="A9" s="13">
        <v>4</v>
      </c>
      <c r="B9" s="33">
        <f>'1. Input Data'!E14</f>
        <v>93075.38</v>
      </c>
      <c r="C9" s="34">
        <f>'1. Input Data'!F14</f>
        <v>0.99690000000000001</v>
      </c>
      <c r="D9" s="35">
        <f>'1. Input Data'!G14</f>
        <v>89</v>
      </c>
      <c r="E9" s="32">
        <f t="shared" si="0"/>
        <v>107.8807120128688</v>
      </c>
      <c r="F9" s="33">
        <f t="shared" si="1"/>
        <v>-18.880712012868798</v>
      </c>
      <c r="G9" s="33">
        <f t="shared" si="2"/>
        <v>356.48128611288814</v>
      </c>
      <c r="H9" s="33">
        <f>IFERROR(IF(ISNUMBER(D9),(D9-IFERROR(AVERAGE(D6:D13),0))^2,""),"")</f>
        <v>199.515625</v>
      </c>
      <c r="I9" s="7"/>
      <c r="J9" s="7"/>
      <c r="K9" s="7"/>
      <c r="M9" s="36" t="s">
        <v>44</v>
      </c>
      <c r="N9" s="37">
        <f>IFERROR(INDEX(LINEST(D6:D23,B6:C23,TRUE(),TRUE()),1,1),"—")</f>
        <v>-178.20533931713763</v>
      </c>
      <c r="O9" s="38" t="s">
        <v>45</v>
      </c>
    </row>
    <row r="10" spans="1:15" ht="19.5" customHeight="1" x14ac:dyDescent="0.3">
      <c r="A10" s="8">
        <v>5</v>
      </c>
      <c r="B10" s="29">
        <f>'1. Input Data'!E16</f>
        <v>94517.82</v>
      </c>
      <c r="C10" s="30">
        <f>'1. Input Data'!F16</f>
        <v>1.0781000000000001</v>
      </c>
      <c r="D10" s="31">
        <f>'1. Input Data'!G16</f>
        <v>99</v>
      </c>
      <c r="E10" s="32">
        <f t="shared" si="0"/>
        <v>91.789615949369193</v>
      </c>
      <c r="F10" s="29">
        <f t="shared" si="1"/>
        <v>7.2103840506308075</v>
      </c>
      <c r="G10" s="29">
        <f t="shared" si="2"/>
        <v>51.989638157591131</v>
      </c>
      <c r="H10" s="29">
        <f>IFERROR(IF(ISNUMBER(D10),(D10-IFERROR(AVERAGE(D6:D13),0))^2,""),"")</f>
        <v>17.015625</v>
      </c>
      <c r="I10" s="7"/>
      <c r="J10" s="7"/>
      <c r="K10" s="7"/>
      <c r="M10" s="36" t="s">
        <v>46</v>
      </c>
      <c r="N10" s="37">
        <f>IFERROR(INDEX(LINEST(D6:D23,B6:C23,TRUE(),TRUE()),3,1),"—")</f>
        <v>0.93459193227890303</v>
      </c>
      <c r="O10" s="38" t="s">
        <v>47</v>
      </c>
    </row>
    <row r="11" spans="1:15" ht="19.5" customHeight="1" x14ac:dyDescent="0.3">
      <c r="A11" s="13">
        <v>6</v>
      </c>
      <c r="B11" s="33">
        <f>'1. Input Data'!E17</f>
        <v>114596.08</v>
      </c>
      <c r="C11" s="34">
        <f>'1. Input Data'!F17</f>
        <v>0.97130000000000005</v>
      </c>
      <c r="D11" s="35">
        <f>'1. Input Data'!G17</f>
        <v>84</v>
      </c>
      <c r="E11" s="32">
        <f t="shared" si="0"/>
        <v>88.260664063243411</v>
      </c>
      <c r="F11" s="33">
        <f t="shared" si="1"/>
        <v>-4.2606640632434107</v>
      </c>
      <c r="G11" s="33">
        <f t="shared" si="2"/>
        <v>18.15325825981385</v>
      </c>
      <c r="H11" s="33">
        <f>IFERROR(IF(ISNUMBER(D11),(D11-IFERROR(AVERAGE(D6:D13),0))^2,""),"")</f>
        <v>365.765625</v>
      </c>
      <c r="I11" s="7"/>
      <c r="J11" s="7"/>
      <c r="K11" s="7"/>
      <c r="M11" s="36" t="s">
        <v>48</v>
      </c>
      <c r="N11" s="37">
        <f>IFERROR(INDEX(LINEST(D6:D23,B6:C23,TRUE(),TRUE()),3,2),"—")</f>
        <v>8.2747414194866789</v>
      </c>
      <c r="O11" s="38" t="s">
        <v>49</v>
      </c>
    </row>
    <row r="12" spans="1:15" ht="19.5" customHeight="1" x14ac:dyDescent="0.3">
      <c r="A12" s="8">
        <v>7</v>
      </c>
      <c r="B12" s="29">
        <f>'1. Input Data'!E22</f>
        <v>105485.73</v>
      </c>
      <c r="C12" s="30">
        <f>'1. Input Data'!F22</f>
        <v>0.76780000000000004</v>
      </c>
      <c r="D12" s="31">
        <f>'1. Input Data'!G22</f>
        <v>129</v>
      </c>
      <c r="E12" s="32">
        <f t="shared" si="0"/>
        <v>134.76245205809525</v>
      </c>
      <c r="F12" s="29">
        <f t="shared" si="1"/>
        <v>-5.7624520580952492</v>
      </c>
      <c r="G12" s="29">
        <f t="shared" si="2"/>
        <v>33.205853721846175</v>
      </c>
      <c r="H12" s="29">
        <f>IFERROR(IF(ISNUMBER(D12),(D12-IFERROR(AVERAGE(D6:D13),0))^2,""),"")</f>
        <v>669.515625</v>
      </c>
      <c r="I12" s="7"/>
      <c r="J12" s="7"/>
      <c r="K12" s="7"/>
    </row>
    <row r="13" spans="1:15" ht="19.5" customHeight="1" x14ac:dyDescent="0.3">
      <c r="A13" s="13">
        <v>8</v>
      </c>
      <c r="B13" s="33">
        <f>'1. Input Data'!E26</f>
        <v>118495.54</v>
      </c>
      <c r="C13" s="34">
        <f>'1. Input Data'!F26</f>
        <v>0.8387</v>
      </c>
      <c r="D13" s="35">
        <f>'1. Input Data'!G26</f>
        <v>100</v>
      </c>
      <c r="E13" s="32">
        <f t="shared" si="0"/>
        <v>107.50899677055463</v>
      </c>
      <c r="F13" s="33">
        <f t="shared" si="1"/>
        <v>-7.5089967705546314</v>
      </c>
      <c r="G13" s="33">
        <f t="shared" si="2"/>
        <v>56.385032500199884</v>
      </c>
      <c r="H13" s="33">
        <f>IFERROR(IF(ISNUMBER(D13),(D13-IFERROR(AVERAGE(D6:D13),0))^2,""),"")</f>
        <v>9.765625</v>
      </c>
      <c r="I13" s="7"/>
      <c r="J13" s="7"/>
      <c r="K13" s="7"/>
      <c r="M13" s="1" t="s">
        <v>50</v>
      </c>
    </row>
    <row r="14" spans="1:15" ht="19.5" customHeight="1" x14ac:dyDescent="0.3">
      <c r="A14" s="8">
        <v>9</v>
      </c>
      <c r="B14" s="29">
        <f>'1. Input Data'!E27</f>
        <v>108500</v>
      </c>
      <c r="C14" s="30">
        <f>'1. Input Data'!F27</f>
        <v>0.71499999999999997</v>
      </c>
      <c r="D14" s="31">
        <f>'1. Input Data'!G27</f>
        <v>145</v>
      </c>
      <c r="E14" s="32">
        <f t="shared" si="0"/>
        <v>140.78465765358635</v>
      </c>
      <c r="F14" s="29">
        <f t="shared" si="1"/>
        <v>4.2153423464136495</v>
      </c>
      <c r="G14" s="29">
        <f t="shared" si="2"/>
        <v>17.769111097468134</v>
      </c>
      <c r="H14" s="29">
        <f>IFERROR(IF(ISNUMBER(D14),(D14-IFERROR(AVERAGE(D6:D23),0))^2,""),"")</f>
        <v>1381.3611111111115</v>
      </c>
      <c r="I14" s="7"/>
      <c r="J14" s="7"/>
      <c r="K14" s="7"/>
    </row>
    <row r="15" spans="1:15" ht="19.5" customHeight="1" x14ac:dyDescent="0.3">
      <c r="A15" s="8">
        <v>10</v>
      </c>
      <c r="B15" s="29">
        <f>'1. Input Data'!E28</f>
        <v>103200</v>
      </c>
      <c r="C15" s="30">
        <f>'1. Input Data'!F28</f>
        <v>0.69499999999999995</v>
      </c>
      <c r="D15" s="31">
        <f>'1. Input Data'!G28</f>
        <v>152</v>
      </c>
      <c r="E15" s="32">
        <f t="shared" si="0"/>
        <v>150.30420058148414</v>
      </c>
      <c r="F15" s="29">
        <f t="shared" si="1"/>
        <v>1.6957994185158611</v>
      </c>
      <c r="G15" s="29">
        <f t="shared" si="2"/>
        <v>2.8757356678387329</v>
      </c>
      <c r="H15" s="29">
        <f>IFERROR(IF(ISNUMBER(D15),(D15-IFERROR(AVERAGE(D6:D23),0))^2,""),"")</f>
        <v>1950.6944444444448</v>
      </c>
      <c r="I15" s="7"/>
      <c r="J15" s="7"/>
      <c r="K15" s="7"/>
    </row>
    <row r="16" spans="1:15" ht="19.5" customHeight="1" x14ac:dyDescent="0.3">
      <c r="A16" s="8">
        <v>11</v>
      </c>
      <c r="B16" s="29">
        <f>'1. Input Data'!E29</f>
        <v>111000</v>
      </c>
      <c r="C16" s="30">
        <f>'1. Input Data'!F29</f>
        <v>0.73199999999999998</v>
      </c>
      <c r="D16" s="31">
        <f>'1. Input Data'!G29</f>
        <v>138</v>
      </c>
      <c r="E16" s="32">
        <f t="shared" si="0"/>
        <v>134.94599889389548</v>
      </c>
      <c r="F16" s="29">
        <f t="shared" si="1"/>
        <v>3.054001106104522</v>
      </c>
      <c r="G16" s="29">
        <f t="shared" si="2"/>
        <v>9.3269227560876438</v>
      </c>
      <c r="H16" s="29">
        <f>IFERROR(IF(ISNUMBER(D16),(D16-IFERROR(AVERAGE(D6:D23),0))^2,""),"")</f>
        <v>910.02777777777806</v>
      </c>
      <c r="I16" s="7"/>
      <c r="J16" s="7"/>
      <c r="K16" s="7"/>
    </row>
    <row r="17" spans="1:15" ht="19.5" customHeight="1" x14ac:dyDescent="0.3">
      <c r="A17" s="8">
        <v>12</v>
      </c>
      <c r="B17" s="29">
        <f>'1. Input Data'!E30</f>
        <v>105800</v>
      </c>
      <c r="C17" s="30">
        <f>'1. Input Data'!F30</f>
        <v>0.68</v>
      </c>
      <c r="D17" s="31">
        <f>'1. Input Data'!G30</f>
        <v>158</v>
      </c>
      <c r="E17" s="32">
        <f t="shared" si="0"/>
        <v>150.0557459602897</v>
      </c>
      <c r="F17" s="29">
        <f t="shared" si="1"/>
        <v>7.9442540397103016</v>
      </c>
      <c r="G17" s="29">
        <f t="shared" si="2"/>
        <v>63.111172247453446</v>
      </c>
      <c r="H17" s="29">
        <f>IFERROR(IF(ISNUMBER(D17),(D17-IFERROR(AVERAGE(D6:D23),0))^2,""),"")</f>
        <v>2516.6944444444448</v>
      </c>
      <c r="I17" s="7"/>
      <c r="J17" s="7"/>
      <c r="K17" s="7"/>
    </row>
    <row r="18" spans="1:15" ht="19.5" customHeight="1" x14ac:dyDescent="0.3">
      <c r="A18" s="8">
        <v>13</v>
      </c>
      <c r="B18" s="29">
        <f>'1. Input Data'!E31</f>
        <v>109700</v>
      </c>
      <c r="C18" s="30">
        <f>'1. Input Data'!F31</f>
        <v>0.70499999999999996</v>
      </c>
      <c r="D18" s="31">
        <f>'1. Input Data'!G31</f>
        <v>148</v>
      </c>
      <c r="E18" s="32">
        <f t="shared" si="0"/>
        <v>141.21831041093395</v>
      </c>
      <c r="F18" s="29">
        <f t="shared" si="1"/>
        <v>6.7816895890660476</v>
      </c>
      <c r="G18" s="29">
        <f t="shared" si="2"/>
        <v>45.991313682446815</v>
      </c>
      <c r="H18" s="29">
        <f>IFERROR(IF(ISNUMBER(D18),(D18-IFERROR(AVERAGE(D6:D23),0))^2,""),"")</f>
        <v>1613.3611111111115</v>
      </c>
      <c r="I18" s="7"/>
      <c r="J18" s="7"/>
      <c r="K18" s="7"/>
      <c r="N18">
        <f>IFERROR(SQRT(IFERROR(SUM(G6:G23),0)/18),"—")</f>
        <v>7.5537708882919432</v>
      </c>
    </row>
    <row r="19" spans="1:15" ht="19.5" customHeight="1" x14ac:dyDescent="0.3">
      <c r="A19" s="8">
        <v>14</v>
      </c>
      <c r="B19" s="29">
        <f>'1. Input Data'!E32</f>
        <v>96000</v>
      </c>
      <c r="C19" s="30">
        <f>'1. Input Data'!F32</f>
        <v>1.135</v>
      </c>
      <c r="D19" s="31">
        <f>'1. Input Data'!G32</f>
        <v>78</v>
      </c>
      <c r="E19" s="32">
        <f t="shared" si="0"/>
        <v>79.984255096886329</v>
      </c>
      <c r="F19" s="29">
        <f t="shared" si="1"/>
        <v>-1.9842550968863293</v>
      </c>
      <c r="G19" s="29">
        <f t="shared" si="2"/>
        <v>3.937268289519376</v>
      </c>
      <c r="H19" s="29">
        <f>IFERROR(IF(ISNUMBER(D19),(D19-IFERROR(AVERAGE(D6:D23),0))^2,""),"")</f>
        <v>890.02777777777749</v>
      </c>
      <c r="I19" s="7"/>
      <c r="J19" s="7"/>
      <c r="K19" s="7"/>
      <c r="N19">
        <f>IFERROR((IFERROR(ABS(F6/D6),0)+IFERROR(ABS(F7/D7),0)+IFERROR(ABS(F8/D8),0)+IFERROR(ABS(F9/D9),0)+IFERROR(ABS(F10/D10),0)+IFERROR(ABS(F11/D11),0)+IFERROR(ABS(F12/D12),0)+IFERROR(ABS(F13/D13),0)+IFERROR(ABS(F14/D14),0)+IFERROR(ABS(F15/D15),0)+IFERROR(ABS(F16/D16),0)+IFERROR(ABS(F17/D17),0)+IFERROR(ABS(F18/D18),0)+IFERROR(ABS(F19/D19),0)+IFERROR(ABS(F20/D20),0)+IFERROR(ABS(F21/D21),0)+IFERROR(ABS(F22/D22),0)+IFERROR(ABS(F23/D23),0))/18*100,"—")</f>
        <v>6.0339792415054463</v>
      </c>
    </row>
    <row r="20" spans="1:15" ht="19.5" customHeight="1" x14ac:dyDescent="0.3">
      <c r="A20" s="8">
        <v>15</v>
      </c>
      <c r="B20" s="29">
        <f>'1. Input Data'!E33</f>
        <v>98500</v>
      </c>
      <c r="C20" s="30">
        <f>'1. Input Data'!F33</f>
        <v>1.21</v>
      </c>
      <c r="D20" s="31">
        <f>'1. Input Data'!G33</f>
        <v>70</v>
      </c>
      <c r="E20" s="32">
        <f t="shared" si="0"/>
        <v>63.80968665680146</v>
      </c>
      <c r="F20" s="29">
        <f t="shared" si="1"/>
        <v>6.1903133431985395</v>
      </c>
      <c r="G20" s="29">
        <f t="shared" si="2"/>
        <v>38.319979286981876</v>
      </c>
      <c r="H20" s="29">
        <f>IFERROR(IF(ISNUMBER(D20),(D20-IFERROR(AVERAGE(D6:D23),0))^2,""),"")</f>
        <v>1431.3611111111109</v>
      </c>
      <c r="I20" s="7"/>
      <c r="J20" s="7"/>
      <c r="K20" s="7"/>
    </row>
    <row r="21" spans="1:15" ht="19.5" customHeight="1" x14ac:dyDescent="0.3">
      <c r="A21" s="8">
        <v>16</v>
      </c>
      <c r="B21" s="29">
        <f>'1. Input Data'!E34</f>
        <v>102000</v>
      </c>
      <c r="C21" s="30">
        <f>'1. Input Data'!F34</f>
        <v>1.1599999999999999</v>
      </c>
      <c r="D21" s="31">
        <f>'1. Input Data'!G34</f>
        <v>75</v>
      </c>
      <c r="E21" s="32">
        <f t="shared" si="0"/>
        <v>68.787118434838987</v>
      </c>
      <c r="F21" s="29">
        <f t="shared" si="1"/>
        <v>6.2128815651610125</v>
      </c>
      <c r="G21" s="29">
        <f t="shared" si="2"/>
        <v>38.599897342717554</v>
      </c>
      <c r="H21" s="29">
        <f>IFERROR(IF(ISNUMBER(D21),(D21-IFERROR(AVERAGE(D6:D23),0))^2,""),"")</f>
        <v>1078.0277777777774</v>
      </c>
      <c r="I21" s="7"/>
      <c r="J21" s="7"/>
      <c r="K21" s="7"/>
    </row>
    <row r="22" spans="1:15" ht="15" customHeight="1" x14ac:dyDescent="0.3">
      <c r="A22" s="8">
        <v>17</v>
      </c>
      <c r="B22" s="29">
        <f>'1. Input Data'!E35</f>
        <v>95000</v>
      </c>
      <c r="C22" s="30">
        <f>'1. Input Data'!F35</f>
        <v>1.18</v>
      </c>
      <c r="D22" s="31">
        <f>'1. Input Data'!G35</f>
        <v>72</v>
      </c>
      <c r="E22" s="32">
        <f t="shared" si="0"/>
        <v>73.088682024134954</v>
      </c>
      <c r="F22" s="29">
        <f t="shared" si="1"/>
        <v>-1.088682024134954</v>
      </c>
      <c r="G22" s="29">
        <f t="shared" si="2"/>
        <v>1.1852285496745805</v>
      </c>
      <c r="H22" s="29">
        <f>IFERROR(IF(ISNUMBER(D22),(D22-IFERROR(AVERAGE(D6:D23),0))^2,""),"")</f>
        <v>1284.0277777777774</v>
      </c>
      <c r="I22" s="7"/>
      <c r="J22" s="7"/>
      <c r="K22" s="7"/>
    </row>
    <row r="23" spans="1:15" ht="15" customHeight="1" x14ac:dyDescent="0.3">
      <c r="A23" s="8">
        <v>18</v>
      </c>
      <c r="B23" s="29">
        <f>'1. Input Data'!E36</f>
        <v>100000</v>
      </c>
      <c r="C23" s="30">
        <f>'1. Input Data'!F36</f>
        <v>1.1200000000000001</v>
      </c>
      <c r="D23" s="31">
        <f>'1. Input Data'!G36</f>
        <v>80</v>
      </c>
      <c r="E23" s="32">
        <f t="shared" si="0"/>
        <v>78.162666400564092</v>
      </c>
      <c r="F23" s="29">
        <f t="shared" si="1"/>
        <v>1.8373335994359081</v>
      </c>
      <c r="G23" s="29">
        <f t="shared" si="2"/>
        <v>3.3757947556161101</v>
      </c>
      <c r="H23" s="29">
        <f>IFERROR(IF(ISNUMBER(D23),(D23-IFERROR(AVERAGE(D6:D23),0))^2,""),"")</f>
        <v>774.69444444444423</v>
      </c>
      <c r="I23" s="7"/>
      <c r="J23" s="7"/>
      <c r="K23" s="7"/>
    </row>
    <row r="24" spans="1:15" ht="15" customHeight="1" x14ac:dyDescent="0.3">
      <c r="A24" s="5" t="s">
        <v>51</v>
      </c>
      <c r="B24" s="39">
        <f>IFERROR(AVERAGE(B6:B23),"—")</f>
        <v>104046.33888888889</v>
      </c>
      <c r="C24" s="39">
        <f>IFERROR(AVERAGE(C6:C23),"—")</f>
        <v>0.92798888888888897</v>
      </c>
      <c r="D24" s="39">
        <f>IFERROR(AVERAGE(D6:D23),"—")</f>
        <v>107.83333333333333</v>
      </c>
      <c r="E24" s="39">
        <f>IFERROR(AVERAGE(E6:E23),"—")</f>
        <v>107.83333333333334</v>
      </c>
      <c r="F24" s="39"/>
      <c r="G24" s="39">
        <f>IFERROR(SUM(G6:G23),"—")</f>
        <v>1027.0701833905234</v>
      </c>
      <c r="H24" s="39">
        <f>IFERROR(SUM(H6:H23),"—")</f>
        <v>15525.152777777777</v>
      </c>
      <c r="I24" s="7"/>
      <c r="J24" s="7"/>
      <c r="K24" s="7"/>
      <c r="M24" s="40" t="str">
        <f>IFERROR(CONCATENATE("Y = ",TEXT(N7,"0.0000")," + ",TEXT(N8,"0.0000"),"·X₁"," + ",TEXT(N9,"0.0000"),"·X₂"),"Isi data dulu")</f>
        <v>Y = 00.390 + 00.000·X₁ + -00.178·X₂</v>
      </c>
    </row>
    <row r="25" spans="1:15" ht="15" customHeight="1" x14ac:dyDescent="0.3">
      <c r="A25" s="7"/>
      <c r="B25" s="29"/>
      <c r="C25" s="30"/>
      <c r="D25" s="31"/>
      <c r="E25" s="29"/>
      <c r="F25" s="29"/>
      <c r="G25" s="29"/>
      <c r="H25" s="29"/>
      <c r="I25" s="7"/>
      <c r="J25" s="7"/>
      <c r="K25" s="7"/>
    </row>
    <row r="26" spans="1:15" ht="15" customHeight="1" x14ac:dyDescent="0.3">
      <c r="A26" s="7"/>
      <c r="B26" s="29"/>
      <c r="C26" s="29"/>
      <c r="D26" s="29"/>
      <c r="E26" s="29"/>
      <c r="F26" s="29"/>
      <c r="G26" s="29"/>
      <c r="H26" s="29"/>
      <c r="I26" s="7"/>
      <c r="J26" s="7"/>
      <c r="K26" s="7"/>
      <c r="M26" s="1" t="s">
        <v>52</v>
      </c>
    </row>
    <row r="27" spans="1:15" ht="15" customHeight="1" x14ac:dyDescent="0.3">
      <c r="A27" s="7"/>
      <c r="B27" s="29"/>
      <c r="C27" s="29"/>
      <c r="D27" s="29"/>
      <c r="E27" s="29"/>
      <c r="F27" s="29"/>
      <c r="G27" s="29"/>
      <c r="H27" s="29"/>
      <c r="I27" s="7"/>
      <c r="J27" s="7"/>
      <c r="K27" s="7"/>
      <c r="M27" s="5" t="s">
        <v>53</v>
      </c>
      <c r="N27" s="5" t="s">
        <v>38</v>
      </c>
      <c r="O27" s="5" t="s">
        <v>54</v>
      </c>
    </row>
    <row r="28" spans="1:15" ht="15" customHeight="1" x14ac:dyDescent="0.3">
      <c r="A28" s="7"/>
      <c r="B28" s="29"/>
      <c r="C28" s="29"/>
      <c r="D28" s="29"/>
      <c r="E28" s="29"/>
      <c r="F28" s="29"/>
      <c r="G28" s="29"/>
      <c r="H28" s="29"/>
      <c r="I28" s="7"/>
      <c r="J28" s="7"/>
      <c r="K28" s="7"/>
      <c r="M28" s="41" t="s">
        <v>55</v>
      </c>
      <c r="N28" s="42">
        <f>IFERROR(SQRT(IFERROR(SUM(G6:G13),0)/8),"—")</f>
        <v>10.016098040871</v>
      </c>
      <c r="O28" s="38" t="s">
        <v>56</v>
      </c>
    </row>
    <row r="29" spans="1:15" ht="15" customHeight="1" x14ac:dyDescent="0.3">
      <c r="A29" s="7"/>
      <c r="B29" s="29"/>
      <c r="C29" s="29"/>
      <c r="D29" s="29"/>
      <c r="E29" s="29"/>
      <c r="F29" s="29"/>
      <c r="G29" s="29"/>
      <c r="H29" s="29"/>
      <c r="I29" s="7"/>
      <c r="J29" s="7"/>
      <c r="K29" s="7"/>
      <c r="M29" s="41" t="s">
        <v>57</v>
      </c>
      <c r="N29" s="42">
        <f>IFERROR((IFERROR(ABS(F6/D6),0)+IFERROR(ABS(F7/D7),0)+IFERROR(ABS(F8/D8),0)+IFERROR(ABS(F9/D9),0)+IFERROR(ABS(F10/D10),0)+IFERROR(ABS(F11/D11),0)+IFERROR(ABS(F12/D12),0)+IFERROR(ABS(F13/D13),0))/8*100,"—")</f>
        <v>8.660721412664488</v>
      </c>
      <c r="O29" s="38" t="s">
        <v>58</v>
      </c>
    </row>
    <row r="30" spans="1:15" ht="15" customHeight="1" x14ac:dyDescent="0.3">
      <c r="A30" s="7"/>
      <c r="B30" s="7"/>
      <c r="C30" s="7"/>
      <c r="D30" s="7"/>
      <c r="E30" s="29"/>
      <c r="F30" s="29"/>
      <c r="G30" s="29"/>
      <c r="H30" s="29"/>
      <c r="I30" s="7"/>
      <c r="J30" s="7"/>
      <c r="K30" s="7"/>
      <c r="M30" s="41" t="s">
        <v>46</v>
      </c>
      <c r="N30" s="42">
        <f>IFERROR(N10,"—")</f>
        <v>0.93459193227890303</v>
      </c>
      <c r="O30" s="38" t="s">
        <v>59</v>
      </c>
    </row>
    <row r="31" spans="1:15" ht="15" customHeight="1" x14ac:dyDescent="0.3">
      <c r="A31" s="7"/>
      <c r="B31" s="29"/>
      <c r="C31" s="29"/>
      <c r="D31" s="29"/>
      <c r="E31" s="29"/>
      <c r="F31" s="29"/>
      <c r="G31" s="29"/>
      <c r="H31" s="29"/>
      <c r="I31" s="7"/>
      <c r="J31" s="7"/>
      <c r="K31" s="7"/>
    </row>
    <row r="32" spans="1:15" ht="27.75" customHeight="1" x14ac:dyDescent="0.3">
      <c r="A32" s="7"/>
      <c r="B32" s="29"/>
      <c r="C32" s="29"/>
      <c r="D32" s="29"/>
      <c r="E32" s="29"/>
      <c r="F32" s="7"/>
      <c r="G32" s="7"/>
      <c r="H32" s="7"/>
      <c r="I32" s="7"/>
      <c r="J32" s="7"/>
      <c r="K32" s="7"/>
    </row>
    <row r="33" spans="13:15" ht="27.75" customHeight="1" x14ac:dyDescent="0.3">
      <c r="M33" s="1" t="s">
        <v>60</v>
      </c>
    </row>
    <row r="34" spans="13:15" ht="27.75" customHeight="1" x14ac:dyDescent="0.3">
      <c r="M34" s="43" t="s">
        <v>61</v>
      </c>
    </row>
    <row r="35" spans="13:15" ht="15" customHeight="1" x14ac:dyDescent="0.3">
      <c r="M35" s="5" t="s">
        <v>62</v>
      </c>
      <c r="N35" s="5" t="s">
        <v>46</v>
      </c>
      <c r="O35" s="5" t="s">
        <v>63</v>
      </c>
    </row>
    <row r="36" spans="13:15" ht="15" customHeight="1" x14ac:dyDescent="0.3">
      <c r="M36" s="36" t="s">
        <v>64</v>
      </c>
      <c r="N36" s="44">
        <f>IFERROR(INDEX(LINEST(D6:D23,B6:C23,TRUE(),TRUE()),3,1),"—")</f>
        <v>0.93459193227890303</v>
      </c>
      <c r="O36" s="45" t="str">
        <f>IFERROR(IF(N26="—","Data kurang",IF(N26=MAX(N26:N28),"✅ Terbaik","")),"—")</f>
        <v/>
      </c>
    </row>
    <row r="37" spans="13:15" ht="15" customHeight="1" x14ac:dyDescent="0.3">
      <c r="M37" s="46" t="s">
        <v>65</v>
      </c>
      <c r="N37" s="44">
        <f>IFERROR(INDEX(LINEST(D6:D23,B6:B23,TRUE(),TRUE()),3,1),"—")</f>
        <v>0.16261413975730296</v>
      </c>
      <c r="O37" s="45" t="str">
        <f>IFERROR(IF(N27="—","Data kurang",IF(N27=MAX(N26:N28),"✅ Terbaik","")),"—")</f>
        <v/>
      </c>
    </row>
    <row r="38" spans="13:15" ht="15" customHeight="1" x14ac:dyDescent="0.3">
      <c r="M38" s="41" t="s">
        <v>66</v>
      </c>
      <c r="N38" s="44">
        <f>IFERROR(INDEX(LINEST(D6:D23,C6:C23,TRUE(),TRUE()),3,1),"—")</f>
        <v>0.89062293744664855</v>
      </c>
      <c r="O38" s="45" t="str">
        <f>IFERROR(IF(N28="—","Data kurang",IF(N28=MAX(N26:N28),"✅ Terbaik","")),"—")</f>
        <v>✅ Terbaik</v>
      </c>
    </row>
    <row r="39" spans="13:15" ht="15" customHeight="1" x14ac:dyDescent="0.3">
      <c r="M39" s="47" t="s">
        <v>67</v>
      </c>
      <c r="N39" s="48">
        <f>IFERROR(MAX(N36:N38),"—")</f>
        <v>0.93459193227890303</v>
      </c>
      <c r="O39" s="49" t="str">
        <f>IFERROR(IF(N39="—","—",IF(N39=N36,"Gunakan X₁+X₂",IF(N39=N37,"Gunakan X₁ saja","Gunakan X₂ saja"))),"—")</f>
        <v>Gunakan X₁+X₂</v>
      </c>
    </row>
    <row r="41" spans="13:15" ht="15" customHeight="1" x14ac:dyDescent="0.3">
      <c r="M41" s="1" t="s">
        <v>68</v>
      </c>
    </row>
    <row r="42" spans="13:15" ht="32.25" customHeight="1" x14ac:dyDescent="0.3">
      <c r="M42" s="50" t="s">
        <v>69</v>
      </c>
    </row>
    <row r="43" spans="13:15" ht="32.25" customHeight="1" x14ac:dyDescent="0.3">
      <c r="M43" s="51" t="s">
        <v>70</v>
      </c>
    </row>
    <row r="44" spans="13:15" ht="32.25" customHeight="1" x14ac:dyDescent="0.3">
      <c r="M44" s="52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" customWidth="1"/>
    <col min="2" max="3" width="14" customWidth="1"/>
    <col min="4" max="4" width="16" customWidth="1"/>
    <col min="5" max="5" width="12" customWidth="1"/>
    <col min="6" max="6" width="14" customWidth="1"/>
    <col min="7" max="7" width="4" customWidth="1"/>
    <col min="9" max="10" width="8" customWidth="1"/>
  </cols>
  <sheetData>
    <row r="1" spans="1:12" ht="15.75" customHeight="1" x14ac:dyDescent="0.3">
      <c r="A1" s="4" t="s">
        <v>72</v>
      </c>
    </row>
    <row r="2" spans="1:12" ht="15" customHeight="1" x14ac:dyDescent="0.3">
      <c r="A2" s="3" t="s">
        <v>73</v>
      </c>
    </row>
    <row r="3" spans="1:12" x14ac:dyDescent="0.3">
      <c r="K3">
        <v>60</v>
      </c>
      <c r="L3">
        <v>60</v>
      </c>
    </row>
    <row r="4" spans="1:12" ht="36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>
        <v>170</v>
      </c>
      <c r="L4">
        <v>170</v>
      </c>
    </row>
    <row r="5" spans="1:12" ht="19.5" customHeight="1" x14ac:dyDescent="0.3">
      <c r="A5" s="8">
        <v>1</v>
      </c>
      <c r="B5" s="29">
        <f>'2. Regresi &amp; Hasil'!D6</f>
        <v>123</v>
      </c>
      <c r="C5" s="32">
        <f>'2. Regresi &amp; Hasil'!E6</f>
        <v>117.61510262175148</v>
      </c>
      <c r="D5" s="29">
        <f t="shared" ref="D5:D22" si="0">IFERROR(IF(AND(ISNUMBER(B5),ISNUMBER(C5)),ABS(B5-C5),""),"")</f>
        <v>5.3848973782485245</v>
      </c>
      <c r="E5" s="29">
        <f t="shared" ref="E5:E22" si="1">IFERROR(IF(AND(ISNUMBER(B5),ISNUMBER(D5),B5&lt;&gt;0),D5/B5*100,""),"")</f>
        <v>4.377965348169532</v>
      </c>
      <c r="F5" s="7" t="str">
        <f t="shared" ref="F5:F22" si="2">IFERROR(IF(ISNUMBER(E5),IF(E5&lt;=10,"✅ Baik",IF(E5&lt;=20,"⚠ Cukup","❌ Buruk")),"–"),"–")</f>
        <v>✅ Baik</v>
      </c>
      <c r="G5" s="7"/>
      <c r="H5" s="7"/>
      <c r="I5" s="53">
        <f>'2. Regresi &amp; Hasil'!D6</f>
        <v>123</v>
      </c>
      <c r="J5" s="53">
        <f>'2. Regresi &amp; Hasil'!E6</f>
        <v>117.61510262175148</v>
      </c>
      <c r="K5" s="7"/>
    </row>
    <row r="6" spans="1:12" ht="19.5" customHeight="1" x14ac:dyDescent="0.3">
      <c r="A6" s="13">
        <v>2</v>
      </c>
      <c r="B6" s="33">
        <f>'2. Regresi &amp; Hasil'!D7</f>
        <v>97</v>
      </c>
      <c r="C6" s="32">
        <f>'2. Regresi &amp; Hasil'!E7</f>
        <v>92.610666937171885</v>
      </c>
      <c r="D6" s="33">
        <f t="shared" si="0"/>
        <v>4.3893330628281149</v>
      </c>
      <c r="E6" s="33">
        <f t="shared" si="1"/>
        <v>4.525085631781562</v>
      </c>
      <c r="F6" s="15" t="str">
        <f t="shared" si="2"/>
        <v>✅ Baik</v>
      </c>
      <c r="G6" s="7"/>
      <c r="H6" s="7"/>
      <c r="I6" s="53">
        <f>'2. Regresi &amp; Hasil'!D7</f>
        <v>97</v>
      </c>
      <c r="J6" s="53">
        <f>'2. Regresi &amp; Hasil'!E7</f>
        <v>92.610666937171885</v>
      </c>
      <c r="K6" s="7"/>
    </row>
    <row r="7" spans="1:12" ht="19.5" customHeight="1" x14ac:dyDescent="0.3">
      <c r="A7" s="8">
        <v>3</v>
      </c>
      <c r="B7" s="29">
        <f>'2. Regresi &amp; Hasil'!D8</f>
        <v>104</v>
      </c>
      <c r="C7" s="32">
        <f>'2. Regresi &amp; Hasil'!E8</f>
        <v>119.43046747353029</v>
      </c>
      <c r="D7" s="29">
        <f t="shared" si="0"/>
        <v>15.430467473530285</v>
      </c>
      <c r="E7" s="29">
        <f t="shared" si="1"/>
        <v>14.836987955317582</v>
      </c>
      <c r="F7" s="7" t="str">
        <f t="shared" si="2"/>
        <v>⚠ Cukup</v>
      </c>
      <c r="G7" s="7"/>
      <c r="H7" s="7"/>
      <c r="I7" s="53">
        <f>'2. Regresi &amp; Hasil'!D8</f>
        <v>104</v>
      </c>
      <c r="J7" s="53">
        <f>'2. Regresi &amp; Hasil'!E8</f>
        <v>119.43046747353029</v>
      </c>
      <c r="K7" s="7"/>
    </row>
    <row r="8" spans="1:12" ht="19.5" customHeight="1" x14ac:dyDescent="0.3">
      <c r="A8" s="13">
        <v>4</v>
      </c>
      <c r="B8" s="33">
        <f>'2. Regresi &amp; Hasil'!D9</f>
        <v>89</v>
      </c>
      <c r="C8" s="32">
        <f>'2. Regresi &amp; Hasil'!E9</f>
        <v>107.8807120128688</v>
      </c>
      <c r="D8" s="33">
        <f t="shared" si="0"/>
        <v>18.880712012868798</v>
      </c>
      <c r="E8" s="33">
        <f t="shared" si="1"/>
        <v>21.21428316052674</v>
      </c>
      <c r="F8" s="15" t="str">
        <f t="shared" si="2"/>
        <v>❌ Buruk</v>
      </c>
      <c r="G8" s="7"/>
      <c r="H8" s="7"/>
      <c r="I8" s="53">
        <f>'2. Regresi &amp; Hasil'!D9</f>
        <v>89</v>
      </c>
      <c r="J8" s="53">
        <f>'2. Regresi &amp; Hasil'!E9</f>
        <v>107.8807120128688</v>
      </c>
      <c r="K8" s="7"/>
    </row>
    <row r="9" spans="1:12" ht="19.5" customHeight="1" x14ac:dyDescent="0.3">
      <c r="A9" s="8">
        <v>5</v>
      </c>
      <c r="B9" s="29">
        <f>'2. Regresi &amp; Hasil'!D10</f>
        <v>99</v>
      </c>
      <c r="C9" s="32">
        <f>'2. Regresi &amp; Hasil'!E10</f>
        <v>91.789615949369193</v>
      </c>
      <c r="D9" s="29">
        <f t="shared" si="0"/>
        <v>7.2103840506308075</v>
      </c>
      <c r="E9" s="29">
        <f t="shared" si="1"/>
        <v>7.2832162127583908</v>
      </c>
      <c r="F9" s="7" t="str">
        <f t="shared" si="2"/>
        <v>✅ Baik</v>
      </c>
      <c r="G9" s="7"/>
      <c r="H9" s="7"/>
      <c r="I9" s="53">
        <f>'2. Regresi &amp; Hasil'!D10</f>
        <v>99</v>
      </c>
      <c r="J9" s="53">
        <f>'2. Regresi &amp; Hasil'!E10</f>
        <v>91.789615949369193</v>
      </c>
      <c r="K9" s="7"/>
    </row>
    <row r="10" spans="1:12" ht="19.5" customHeight="1" x14ac:dyDescent="0.3">
      <c r="A10" s="13">
        <v>6</v>
      </c>
      <c r="B10" s="33">
        <f>'2. Regresi &amp; Hasil'!D11</f>
        <v>84</v>
      </c>
      <c r="C10" s="32">
        <f>'2. Regresi &amp; Hasil'!E11</f>
        <v>88.260664063243411</v>
      </c>
      <c r="D10" s="33">
        <f t="shared" si="0"/>
        <v>4.2606640632434107</v>
      </c>
      <c r="E10" s="33">
        <f t="shared" si="1"/>
        <v>5.0722191229088223</v>
      </c>
      <c r="F10" s="15" t="str">
        <f t="shared" si="2"/>
        <v>✅ Baik</v>
      </c>
      <c r="G10" s="7"/>
      <c r="H10" s="7"/>
      <c r="I10" s="53">
        <f>'2. Regresi &amp; Hasil'!D11</f>
        <v>84</v>
      </c>
      <c r="J10" s="53">
        <f>'2. Regresi &amp; Hasil'!E11</f>
        <v>88.260664063243411</v>
      </c>
      <c r="K10" s="7"/>
    </row>
    <row r="11" spans="1:12" ht="19.5" customHeight="1" x14ac:dyDescent="0.3">
      <c r="A11" s="8">
        <v>7</v>
      </c>
      <c r="B11" s="29">
        <f>'2. Regresi &amp; Hasil'!D12</f>
        <v>129</v>
      </c>
      <c r="C11" s="32">
        <f>'2. Regresi &amp; Hasil'!E12</f>
        <v>134.76245205809525</v>
      </c>
      <c r="D11" s="29">
        <f t="shared" si="0"/>
        <v>5.7624520580952492</v>
      </c>
      <c r="E11" s="29">
        <f t="shared" si="1"/>
        <v>4.4670170992986424</v>
      </c>
      <c r="F11" s="7" t="str">
        <f t="shared" si="2"/>
        <v>✅ Baik</v>
      </c>
      <c r="G11" s="7"/>
      <c r="H11" s="7"/>
      <c r="I11" s="53">
        <f>'2. Regresi &amp; Hasil'!D12</f>
        <v>129</v>
      </c>
      <c r="J11" s="53">
        <f>'2. Regresi &amp; Hasil'!E12</f>
        <v>134.76245205809525</v>
      </c>
      <c r="K11" s="7"/>
    </row>
    <row r="12" spans="1:12" ht="19.5" customHeight="1" x14ac:dyDescent="0.3">
      <c r="A12" s="13">
        <v>8</v>
      </c>
      <c r="B12" s="33">
        <f>'2. Regresi &amp; Hasil'!D13</f>
        <v>100</v>
      </c>
      <c r="C12" s="32">
        <f>'2. Regresi &amp; Hasil'!E13</f>
        <v>107.50899677055463</v>
      </c>
      <c r="D12" s="33">
        <f t="shared" si="0"/>
        <v>7.5089967705546314</v>
      </c>
      <c r="E12" s="33">
        <f t="shared" si="1"/>
        <v>7.5089967705546306</v>
      </c>
      <c r="F12" s="15" t="str">
        <f t="shared" si="2"/>
        <v>✅ Baik</v>
      </c>
      <c r="G12" s="7"/>
      <c r="H12" s="7"/>
      <c r="I12" s="53">
        <f>'2. Regresi &amp; Hasil'!D13</f>
        <v>100</v>
      </c>
      <c r="J12" s="53">
        <f>'2. Regresi &amp; Hasil'!E13</f>
        <v>107.50899677055463</v>
      </c>
      <c r="K12" s="7"/>
    </row>
    <row r="13" spans="1:12" ht="19.5" customHeight="1" x14ac:dyDescent="0.3">
      <c r="A13">
        <v>9</v>
      </c>
      <c r="B13" s="54">
        <f>'2. Regresi &amp; Hasil'!D14</f>
        <v>145</v>
      </c>
      <c r="C13" s="55">
        <f>'2. Regresi &amp; Hasil'!E14</f>
        <v>140.78465765358635</v>
      </c>
      <c r="D13">
        <f t="shared" si="0"/>
        <v>4.2153423464136495</v>
      </c>
      <c r="E13">
        <f t="shared" si="1"/>
        <v>2.9071326526990684</v>
      </c>
      <c r="F13" t="str">
        <f t="shared" si="2"/>
        <v>✅ Baik</v>
      </c>
      <c r="I13" s="54">
        <f>'2. Regresi &amp; Hasil'!D14</f>
        <v>145</v>
      </c>
      <c r="J13" s="55">
        <f>'2. Regresi &amp; Hasil'!E14</f>
        <v>140.78465765358635</v>
      </c>
    </row>
    <row r="14" spans="1:12" ht="19.5" customHeight="1" x14ac:dyDescent="0.3">
      <c r="A14">
        <v>10</v>
      </c>
      <c r="B14" s="54">
        <f>'2. Regresi &amp; Hasil'!D15</f>
        <v>152</v>
      </c>
      <c r="C14" s="55">
        <f>'2. Regresi &amp; Hasil'!E15</f>
        <v>150.30420058148414</v>
      </c>
      <c r="D14">
        <f t="shared" si="0"/>
        <v>1.6957994185158611</v>
      </c>
      <c r="E14">
        <f t="shared" si="1"/>
        <v>1.1156575121814876</v>
      </c>
      <c r="F14" t="str">
        <f t="shared" si="2"/>
        <v>✅ Baik</v>
      </c>
      <c r="I14" s="54">
        <f>'2. Regresi &amp; Hasil'!D15</f>
        <v>152</v>
      </c>
      <c r="J14" s="55">
        <f>'2. Regresi &amp; Hasil'!E15</f>
        <v>150.30420058148414</v>
      </c>
    </row>
    <row r="15" spans="1:12" ht="19.5" customHeight="1" x14ac:dyDescent="0.3">
      <c r="A15">
        <v>11</v>
      </c>
      <c r="B15" s="54">
        <f>'2. Regresi &amp; Hasil'!D16</f>
        <v>138</v>
      </c>
      <c r="C15" s="55">
        <f>'2. Regresi &amp; Hasil'!E16</f>
        <v>134.94599889389548</v>
      </c>
      <c r="D15">
        <f t="shared" si="0"/>
        <v>3.054001106104522</v>
      </c>
      <c r="E15">
        <f t="shared" si="1"/>
        <v>2.2130442797858856</v>
      </c>
      <c r="F15" t="str">
        <f t="shared" si="2"/>
        <v>✅ Baik</v>
      </c>
      <c r="I15" s="54">
        <f>'2. Regresi &amp; Hasil'!D16</f>
        <v>138</v>
      </c>
      <c r="J15" s="55">
        <f>'2. Regresi &amp; Hasil'!E16</f>
        <v>134.94599889389548</v>
      </c>
    </row>
    <row r="16" spans="1:12" ht="19.5" customHeight="1" x14ac:dyDescent="0.3">
      <c r="A16">
        <v>12</v>
      </c>
      <c r="B16" s="54">
        <f>'2. Regresi &amp; Hasil'!D17</f>
        <v>158</v>
      </c>
      <c r="C16" s="55">
        <f>'2. Regresi &amp; Hasil'!E17</f>
        <v>150.0557459602897</v>
      </c>
      <c r="D16">
        <f t="shared" si="0"/>
        <v>7.9442540397103016</v>
      </c>
      <c r="E16">
        <f t="shared" si="1"/>
        <v>5.0280088858925955</v>
      </c>
      <c r="F16" t="str">
        <f t="shared" si="2"/>
        <v>✅ Baik</v>
      </c>
      <c r="I16" s="54">
        <f>'2. Regresi &amp; Hasil'!D17</f>
        <v>158</v>
      </c>
      <c r="J16" s="55">
        <f>'2. Regresi &amp; Hasil'!E17</f>
        <v>150.0557459602897</v>
      </c>
    </row>
    <row r="17" spans="1:11" ht="19.5" customHeight="1" x14ac:dyDescent="0.3">
      <c r="A17">
        <v>13</v>
      </c>
      <c r="B17" s="54">
        <f>'2. Regresi &amp; Hasil'!D18</f>
        <v>148</v>
      </c>
      <c r="C17" s="55">
        <f>'2. Regresi &amp; Hasil'!E18</f>
        <v>141.21831041093395</v>
      </c>
      <c r="D17">
        <f t="shared" si="0"/>
        <v>6.7816895890660476</v>
      </c>
      <c r="E17">
        <f t="shared" si="1"/>
        <v>4.582222695314897</v>
      </c>
      <c r="F17" t="str">
        <f t="shared" si="2"/>
        <v>✅ Baik</v>
      </c>
      <c r="I17" s="54">
        <f>'2. Regresi &amp; Hasil'!D18</f>
        <v>148</v>
      </c>
      <c r="J17" s="55">
        <f>'2. Regresi &amp; Hasil'!E18</f>
        <v>141.21831041093395</v>
      </c>
    </row>
    <row r="18" spans="1:11" ht="19.5" customHeight="1" x14ac:dyDescent="0.3">
      <c r="A18">
        <v>14</v>
      </c>
      <c r="B18" s="54">
        <f>'2. Regresi &amp; Hasil'!D19</f>
        <v>78</v>
      </c>
      <c r="C18" s="55">
        <f>'2. Regresi &amp; Hasil'!E19</f>
        <v>79.984255096886329</v>
      </c>
      <c r="D18">
        <f t="shared" si="0"/>
        <v>1.9842550968863293</v>
      </c>
      <c r="E18">
        <f t="shared" si="1"/>
        <v>2.5439167908799094</v>
      </c>
      <c r="F18" t="str">
        <f t="shared" si="2"/>
        <v>✅ Baik</v>
      </c>
      <c r="I18" s="54">
        <f>'2. Regresi &amp; Hasil'!D19</f>
        <v>78</v>
      </c>
      <c r="J18" s="55">
        <f>'2. Regresi &amp; Hasil'!E19</f>
        <v>79.984255096886329</v>
      </c>
    </row>
    <row r="19" spans="1:11" ht="19.5" customHeight="1" x14ac:dyDescent="0.3">
      <c r="A19">
        <v>15</v>
      </c>
      <c r="B19" s="54">
        <f>'2. Regresi &amp; Hasil'!D20</f>
        <v>70</v>
      </c>
      <c r="C19" s="55">
        <f>'2. Regresi &amp; Hasil'!E20</f>
        <v>63.80968665680146</v>
      </c>
      <c r="D19">
        <f t="shared" si="0"/>
        <v>6.1903133431985395</v>
      </c>
      <c r="E19">
        <f t="shared" si="1"/>
        <v>8.8433047759979129</v>
      </c>
      <c r="F19" t="str">
        <f t="shared" si="2"/>
        <v>✅ Baik</v>
      </c>
      <c r="I19" s="54">
        <f>'2. Regresi &amp; Hasil'!D20</f>
        <v>70</v>
      </c>
      <c r="J19" s="55">
        <f>'2. Regresi &amp; Hasil'!E20</f>
        <v>63.80968665680146</v>
      </c>
    </row>
    <row r="20" spans="1:11" ht="19.5" customHeight="1" x14ac:dyDescent="0.3">
      <c r="A20">
        <v>16</v>
      </c>
      <c r="B20" s="54">
        <f>'2. Regresi &amp; Hasil'!D21</f>
        <v>75</v>
      </c>
      <c r="C20" s="55">
        <f>'2. Regresi &amp; Hasil'!E21</f>
        <v>68.787118434838987</v>
      </c>
      <c r="D20">
        <f t="shared" si="0"/>
        <v>6.2128815651610125</v>
      </c>
      <c r="E20">
        <f t="shared" si="1"/>
        <v>8.28384208688135</v>
      </c>
      <c r="F20" t="str">
        <f t="shared" si="2"/>
        <v>✅ Baik</v>
      </c>
      <c r="I20" s="54">
        <f>'2. Regresi &amp; Hasil'!D21</f>
        <v>75</v>
      </c>
      <c r="J20" s="55">
        <f>'2. Regresi &amp; Hasil'!E21</f>
        <v>68.787118434838987</v>
      </c>
    </row>
    <row r="21" spans="1:11" ht="15" customHeight="1" x14ac:dyDescent="0.3">
      <c r="A21">
        <v>17</v>
      </c>
      <c r="B21" s="54">
        <f>'2. Regresi &amp; Hasil'!D22</f>
        <v>72</v>
      </c>
      <c r="C21" s="55">
        <f>'2. Regresi &amp; Hasil'!E22</f>
        <v>73.088682024134954</v>
      </c>
      <c r="D21">
        <f t="shared" si="0"/>
        <v>1.088682024134954</v>
      </c>
      <c r="E21">
        <f t="shared" si="1"/>
        <v>1.5120583668541028</v>
      </c>
      <c r="F21" t="str">
        <f t="shared" si="2"/>
        <v>✅ Baik</v>
      </c>
      <c r="I21" s="54">
        <f>'2. Regresi &amp; Hasil'!D22</f>
        <v>72</v>
      </c>
      <c r="J21" s="55">
        <f>'2. Regresi &amp; Hasil'!E22</f>
        <v>73.088682024134954</v>
      </c>
    </row>
    <row r="22" spans="1:11" ht="15" customHeight="1" x14ac:dyDescent="0.3">
      <c r="A22">
        <v>18</v>
      </c>
      <c r="B22" s="54">
        <f>'2. Regresi &amp; Hasil'!D23</f>
        <v>80</v>
      </c>
      <c r="C22" s="55">
        <f>'2. Regresi &amp; Hasil'!E23</f>
        <v>78.162666400564092</v>
      </c>
      <c r="D22">
        <f t="shared" si="0"/>
        <v>1.8373335994359081</v>
      </c>
      <c r="E22">
        <f t="shared" si="1"/>
        <v>2.2966669992948852</v>
      </c>
      <c r="F22" t="str">
        <f t="shared" si="2"/>
        <v>✅ Baik</v>
      </c>
      <c r="I22" s="54">
        <f>'2. Regresi &amp; Hasil'!D23</f>
        <v>80</v>
      </c>
      <c r="J22" s="55">
        <f>'2. Regresi &amp; Hasil'!E23</f>
        <v>78.162666400564092</v>
      </c>
    </row>
    <row r="23" spans="1:11" ht="15" customHeight="1" x14ac:dyDescent="0.3">
      <c r="A23" s="59" t="s">
        <v>74</v>
      </c>
      <c r="B23" s="59"/>
      <c r="C23" s="59"/>
      <c r="D23" s="56">
        <f>IFERROR(AVERAGEIF(D5:D22,"&lt;&gt;"),"—")</f>
        <v>6.1018032777014968</v>
      </c>
      <c r="E23" s="56">
        <f>IFERROR(AVERAGEIF(E5:E22,"&lt;&gt;"),"—")</f>
        <v>6.0339792415054436</v>
      </c>
      <c r="F23" s="57"/>
      <c r="G23" s="57"/>
      <c r="H23" s="7"/>
      <c r="I23" s="29"/>
      <c r="J23" s="29"/>
      <c r="K23" s="7"/>
    </row>
    <row r="24" spans="1:11" ht="15" customHeight="1" x14ac:dyDescent="0.3">
      <c r="A24" s="7"/>
      <c r="B24" s="29"/>
      <c r="C24" s="29"/>
      <c r="D24" s="29"/>
      <c r="E24" s="29"/>
      <c r="F24" s="7"/>
      <c r="G24" s="7"/>
      <c r="H24" s="7"/>
      <c r="I24" s="29"/>
      <c r="J24" s="29"/>
      <c r="K24" s="7"/>
    </row>
    <row r="25" spans="1:11" ht="15" customHeight="1" x14ac:dyDescent="0.3">
      <c r="A25" s="60" t="s">
        <v>75</v>
      </c>
      <c r="B25" s="60"/>
      <c r="C25" s="60"/>
      <c r="D25" s="60"/>
      <c r="E25" s="60"/>
      <c r="F25" s="60"/>
      <c r="G25" s="60"/>
      <c r="H25" s="7"/>
      <c r="I25" s="29"/>
      <c r="J25" s="29"/>
      <c r="K25" s="7"/>
    </row>
    <row r="26" spans="1:11" ht="15" customHeight="1" x14ac:dyDescent="0.3">
      <c r="A26" s="61" t="s">
        <v>76</v>
      </c>
      <c r="B26" s="61"/>
      <c r="C26" s="61"/>
      <c r="D26" s="61"/>
      <c r="E26" s="61"/>
      <c r="F26" s="61"/>
      <c r="G26" s="61"/>
      <c r="H26" s="7"/>
      <c r="I26" s="29"/>
      <c r="J26" s="29"/>
      <c r="K26" s="7"/>
    </row>
    <row r="27" spans="1:11" ht="15" customHeight="1" x14ac:dyDescent="0.3">
      <c r="A27" s="62" t="s">
        <v>77</v>
      </c>
      <c r="B27" s="62"/>
      <c r="C27" s="62"/>
      <c r="D27" s="62"/>
      <c r="E27" s="62"/>
      <c r="F27" s="62"/>
      <c r="G27" s="62"/>
      <c r="H27" s="7"/>
      <c r="I27" s="7"/>
      <c r="J27" s="7"/>
      <c r="K27" s="7"/>
    </row>
    <row r="28" spans="1:11" ht="1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1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1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1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1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1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5" customHeight="1" x14ac:dyDescent="0.3">
      <c r="A35" s="7"/>
      <c r="B35" s="7"/>
      <c r="C35" s="7"/>
      <c r="D35" s="7"/>
      <c r="E35" s="7"/>
      <c r="F35" s="7"/>
      <c r="G35" s="7"/>
    </row>
  </sheetData>
  <mergeCells count="4">
    <mergeCell ref="A23:C23"/>
    <mergeCell ref="A25:G25"/>
    <mergeCell ref="A26:G26"/>
    <mergeCell ref="A27:G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"/>
  <sheetViews>
    <sheetView zoomScaleNormal="100" workbookViewId="0"/>
  </sheetViews>
  <sheetFormatPr defaultColWidth="8.6640625" defaultRowHeight="14.4" x14ac:dyDescent="0.3"/>
  <cols>
    <col min="1" max="1" width="70" customWidth="1"/>
    <col min="2" max="2" width="16" customWidth="1"/>
    <col min="3" max="3" width="25" customWidth="1"/>
  </cols>
  <sheetData>
    <row r="1" spans="1:3" ht="15.75" customHeight="1" x14ac:dyDescent="0.3">
      <c r="A1" s="67" t="s">
        <v>78</v>
      </c>
      <c r="B1" s="67"/>
      <c r="C1" s="67"/>
    </row>
    <row r="2" spans="1:3" ht="15" customHeight="1" x14ac:dyDescent="0.3">
      <c r="A2" s="68" t="s">
        <v>79</v>
      </c>
      <c r="B2" s="68"/>
      <c r="C2" s="68"/>
    </row>
    <row r="4" spans="1:3" ht="15" customHeight="1" x14ac:dyDescent="0.3">
      <c r="A4" s="69" t="s">
        <v>80</v>
      </c>
      <c r="B4" s="69"/>
      <c r="C4" s="69"/>
    </row>
    <row r="5" spans="1:3" ht="15" customHeight="1" x14ac:dyDescent="0.3">
      <c r="A5" s="28" t="s">
        <v>37</v>
      </c>
      <c r="B5" s="28" t="s">
        <v>38</v>
      </c>
      <c r="C5" s="28" t="s">
        <v>39</v>
      </c>
    </row>
    <row r="6" spans="1:3" ht="15" customHeight="1" x14ac:dyDescent="0.3">
      <c r="A6" s="36" t="s">
        <v>40</v>
      </c>
      <c r="B6" s="58">
        <f>'2. Regresi &amp; Hasil'!N7</f>
        <v>390.1193660877405</v>
      </c>
      <c r="C6" s="38" t="s">
        <v>81</v>
      </c>
    </row>
    <row r="7" spans="1:3" ht="15" customHeight="1" x14ac:dyDescent="0.3">
      <c r="A7" s="36" t="s">
        <v>82</v>
      </c>
      <c r="B7" s="58">
        <f>'2. Regresi &amp; Hasil'!N8</f>
        <v>-1.1236671965198226E-3</v>
      </c>
      <c r="C7" s="38" t="s">
        <v>83</v>
      </c>
    </row>
    <row r="8" spans="1:3" ht="15" customHeight="1" x14ac:dyDescent="0.3">
      <c r="A8" s="36" t="s">
        <v>84</v>
      </c>
      <c r="B8" s="58">
        <f>'2. Regresi &amp; Hasil'!N9</f>
        <v>-178.20533931713763</v>
      </c>
      <c r="C8" s="38" t="s">
        <v>85</v>
      </c>
    </row>
    <row r="10" spans="1:3" ht="15" customHeight="1" x14ac:dyDescent="0.3">
      <c r="A10" s="70" t="s">
        <v>86</v>
      </c>
      <c r="B10" s="70"/>
      <c r="C10" s="70"/>
    </row>
    <row r="11" spans="1:3" ht="15" customHeight="1" x14ac:dyDescent="0.3">
      <c r="A11" s="66" t="s">
        <v>87</v>
      </c>
      <c r="B11" s="66"/>
      <c r="C11" s="66"/>
    </row>
    <row r="12" spans="1:3" ht="15" customHeight="1" x14ac:dyDescent="0.3">
      <c r="A12" s="66" t="s">
        <v>88</v>
      </c>
      <c r="B12" s="66"/>
      <c r="C12" s="66"/>
    </row>
    <row r="13" spans="1:3" ht="15" customHeight="1" x14ac:dyDescent="0.3">
      <c r="A13" s="66" t="s">
        <v>89</v>
      </c>
      <c r="B13" s="66"/>
      <c r="C13" s="66"/>
    </row>
    <row r="14" spans="1:3" ht="15" customHeight="1" x14ac:dyDescent="0.3">
      <c r="A14" s="66" t="s">
        <v>87</v>
      </c>
      <c r="B14" s="66"/>
      <c r="C14" s="66"/>
    </row>
    <row r="15" spans="1:3" ht="15" customHeight="1" x14ac:dyDescent="0.3">
      <c r="A15" s="64"/>
      <c r="B15" s="64"/>
      <c r="C15" s="64"/>
    </row>
    <row r="16" spans="1:3" ht="15" customHeight="1" x14ac:dyDescent="0.3">
      <c r="A16" s="65" t="s">
        <v>90</v>
      </c>
      <c r="B16" s="65"/>
      <c r="C16" s="65"/>
    </row>
    <row r="17" spans="1:3" ht="15" customHeight="1" x14ac:dyDescent="0.3">
      <c r="A17" s="65" t="s">
        <v>91</v>
      </c>
      <c r="B17" s="65"/>
      <c r="C17" s="65"/>
    </row>
    <row r="18" spans="1:3" ht="15" customHeight="1" x14ac:dyDescent="0.3">
      <c r="A18" s="64"/>
      <c r="B18" s="64"/>
      <c r="C18" s="64"/>
    </row>
    <row r="19" spans="1:3" ht="15" customHeight="1" x14ac:dyDescent="0.3">
      <c r="A19" s="64" t="s">
        <v>92</v>
      </c>
      <c r="B19" s="64"/>
      <c r="C19" s="64"/>
    </row>
    <row r="20" spans="1:3" ht="15" customHeight="1" x14ac:dyDescent="0.3">
      <c r="A20" s="64"/>
      <c r="B20" s="64"/>
      <c r="C20" s="64"/>
    </row>
    <row r="21" spans="1:3" ht="15" customHeight="1" x14ac:dyDescent="0.3">
      <c r="A21" s="66" t="s">
        <v>93</v>
      </c>
      <c r="B21" s="66"/>
      <c r="C21" s="66"/>
    </row>
    <row r="22" spans="1:3" ht="15" customHeight="1" x14ac:dyDescent="0.3">
      <c r="A22" s="65" t="s">
        <v>94</v>
      </c>
      <c r="B22" s="65"/>
      <c r="C22" s="65"/>
    </row>
    <row r="23" spans="1:3" ht="15" customHeight="1" x14ac:dyDescent="0.3">
      <c r="A23" s="65" t="s">
        <v>95</v>
      </c>
      <c r="B23" s="65"/>
      <c r="C23" s="65"/>
    </row>
    <row r="24" spans="1:3" ht="15" customHeight="1" x14ac:dyDescent="0.3">
      <c r="A24" s="65" t="s">
        <v>96</v>
      </c>
      <c r="B24" s="65"/>
      <c r="C24" s="65"/>
    </row>
    <row r="25" spans="1:3" ht="15" customHeight="1" x14ac:dyDescent="0.3">
      <c r="A25" s="64"/>
      <c r="B25" s="64"/>
      <c r="C25" s="64"/>
    </row>
    <row r="26" spans="1:3" ht="15" customHeight="1" x14ac:dyDescent="0.3">
      <c r="A26" s="65" t="s">
        <v>97</v>
      </c>
      <c r="B26" s="65"/>
      <c r="C26" s="65"/>
    </row>
    <row r="27" spans="1:3" ht="15" customHeight="1" x14ac:dyDescent="0.3">
      <c r="A27" s="64" t="s">
        <v>98</v>
      </c>
      <c r="B27" s="64"/>
      <c r="C27" s="64"/>
    </row>
    <row r="28" spans="1:3" ht="15" customHeight="1" x14ac:dyDescent="0.3">
      <c r="A28" s="64" t="s">
        <v>99</v>
      </c>
      <c r="B28" s="64"/>
      <c r="C28" s="64"/>
    </row>
    <row r="29" spans="1:3" ht="15" customHeight="1" x14ac:dyDescent="0.3">
      <c r="A29" s="63" t="s">
        <v>100</v>
      </c>
      <c r="B29" s="63"/>
      <c r="C29" s="63"/>
    </row>
    <row r="30" spans="1:3" ht="15" customHeight="1" x14ac:dyDescent="0.3">
      <c r="A30" s="64" t="s">
        <v>101</v>
      </c>
      <c r="B30" s="64"/>
      <c r="C30" s="64"/>
    </row>
    <row r="31" spans="1:3" ht="15" customHeight="1" x14ac:dyDescent="0.3">
      <c r="A31" s="64" t="s">
        <v>102</v>
      </c>
      <c r="B31" s="64"/>
      <c r="C31" s="64"/>
    </row>
    <row r="32" spans="1:3" ht="15" customHeight="1" x14ac:dyDescent="0.3">
      <c r="A32" s="64" t="s">
        <v>103</v>
      </c>
      <c r="B32" s="64"/>
      <c r="C32" s="64"/>
    </row>
    <row r="33" spans="1:3" ht="15" customHeight="1" x14ac:dyDescent="0.3">
      <c r="A33" s="64" t="s">
        <v>104</v>
      </c>
      <c r="B33" s="64"/>
      <c r="C33" s="64"/>
    </row>
    <row r="34" spans="1:3" ht="15" customHeight="1" x14ac:dyDescent="0.3">
      <c r="A34" s="64" t="s">
        <v>105</v>
      </c>
      <c r="B34" s="64"/>
      <c r="C34" s="64"/>
    </row>
    <row r="35" spans="1:3" ht="15" customHeight="1" x14ac:dyDescent="0.3">
      <c r="A35" s="64" t="s">
        <v>106</v>
      </c>
      <c r="B35" s="64"/>
      <c r="C35" s="64"/>
    </row>
    <row r="36" spans="1:3" ht="15" customHeight="1" x14ac:dyDescent="0.3">
      <c r="A36" s="64"/>
      <c r="B36" s="64"/>
      <c r="C36" s="64"/>
    </row>
    <row r="37" spans="1:3" ht="15" customHeight="1" x14ac:dyDescent="0.3">
      <c r="A37" s="65" t="s">
        <v>107</v>
      </c>
      <c r="B37" s="65"/>
      <c r="C37" s="65"/>
    </row>
    <row r="38" spans="1:3" ht="15" customHeight="1" x14ac:dyDescent="0.3">
      <c r="A38" s="65" t="s">
        <v>108</v>
      </c>
      <c r="B38" s="65"/>
      <c r="C38" s="65"/>
    </row>
    <row r="39" spans="1:3" ht="15" customHeight="1" x14ac:dyDescent="0.3">
      <c r="A39" s="65" t="s">
        <v>109</v>
      </c>
      <c r="B39" s="65"/>
      <c r="C39" s="65"/>
    </row>
    <row r="40" spans="1:3" ht="15" customHeight="1" x14ac:dyDescent="0.3">
      <c r="A40" s="64"/>
      <c r="B40" s="64"/>
      <c r="C40" s="64"/>
    </row>
    <row r="41" spans="1:3" ht="15" customHeight="1" x14ac:dyDescent="0.3">
      <c r="A41" s="65" t="s">
        <v>110</v>
      </c>
      <c r="B41" s="65"/>
      <c r="C41" s="65"/>
    </row>
    <row r="42" spans="1:3" ht="15" customHeight="1" x14ac:dyDescent="0.3">
      <c r="A42" s="64" t="s">
        <v>111</v>
      </c>
      <c r="B42" s="64"/>
      <c r="C42" s="64"/>
    </row>
    <row r="43" spans="1:3" ht="15" customHeight="1" x14ac:dyDescent="0.3">
      <c r="A43" s="64" t="s">
        <v>112</v>
      </c>
      <c r="B43" s="64"/>
      <c r="C43" s="64"/>
    </row>
    <row r="44" spans="1:3" ht="15" customHeight="1" x14ac:dyDescent="0.3">
      <c r="A44" s="64" t="s">
        <v>113</v>
      </c>
      <c r="B44" s="64"/>
      <c r="C44" s="64"/>
    </row>
    <row r="45" spans="1:3" ht="15" customHeight="1" x14ac:dyDescent="0.3">
      <c r="A45" s="64" t="s">
        <v>114</v>
      </c>
      <c r="B45" s="64"/>
      <c r="C45" s="64"/>
    </row>
    <row r="46" spans="1:3" ht="15" customHeight="1" x14ac:dyDescent="0.3">
      <c r="A46" s="64" t="s">
        <v>102</v>
      </c>
      <c r="B46" s="64"/>
      <c r="C46" s="64"/>
    </row>
    <row r="47" spans="1:3" ht="15" customHeight="1" x14ac:dyDescent="0.3">
      <c r="A47" s="64"/>
      <c r="B47" s="64"/>
      <c r="C47" s="64"/>
    </row>
    <row r="48" spans="1:3" ht="15" customHeight="1" x14ac:dyDescent="0.3">
      <c r="A48" s="65" t="s">
        <v>115</v>
      </c>
      <c r="B48" s="65"/>
      <c r="C48" s="65"/>
    </row>
    <row r="49" spans="1:3" ht="15" customHeight="1" x14ac:dyDescent="0.3">
      <c r="A49" s="65" t="s">
        <v>116</v>
      </c>
      <c r="B49" s="65"/>
      <c r="C49" s="65"/>
    </row>
    <row r="50" spans="1:3" ht="15" customHeight="1" x14ac:dyDescent="0.3">
      <c r="A50" s="64"/>
      <c r="B50" s="64"/>
      <c r="C50" s="64"/>
    </row>
    <row r="51" spans="1:3" ht="15" customHeight="1" x14ac:dyDescent="0.3">
      <c r="A51" s="64" t="s">
        <v>117</v>
      </c>
      <c r="B51" s="64"/>
      <c r="C51" s="64"/>
    </row>
    <row r="52" spans="1:3" ht="15" customHeight="1" x14ac:dyDescent="0.3">
      <c r="A52" s="65" t="s">
        <v>118</v>
      </c>
      <c r="B52" s="65"/>
      <c r="C52" s="65"/>
    </row>
    <row r="53" spans="1:3" ht="15" customHeight="1" x14ac:dyDescent="0.3">
      <c r="A53" s="64"/>
      <c r="B53" s="64"/>
      <c r="C53" s="64"/>
    </row>
    <row r="54" spans="1:3" ht="15" customHeight="1" x14ac:dyDescent="0.3">
      <c r="A54" s="63" t="s">
        <v>119</v>
      </c>
      <c r="B54" s="63"/>
      <c r="C54" s="63"/>
    </row>
    <row r="55" spans="1:3" ht="15" customHeight="1" x14ac:dyDescent="0.3">
      <c r="A55" s="63" t="s">
        <v>120</v>
      </c>
      <c r="B55" s="63"/>
      <c r="C55" s="63"/>
    </row>
    <row r="56" spans="1:3" ht="15" customHeight="1" x14ac:dyDescent="0.3">
      <c r="A56" s="63" t="s">
        <v>121</v>
      </c>
      <c r="B56" s="63"/>
      <c r="C56" s="63"/>
    </row>
    <row r="57" spans="1:3" ht="15" customHeight="1" x14ac:dyDescent="0.3">
      <c r="A57" s="63" t="s">
        <v>122</v>
      </c>
      <c r="B57" s="63"/>
      <c r="C57" s="63"/>
    </row>
    <row r="58" spans="1:3" ht="15" customHeight="1" x14ac:dyDescent="0.3">
      <c r="A58" s="63" t="s">
        <v>123</v>
      </c>
      <c r="B58" s="63"/>
      <c r="C58" s="63"/>
    </row>
    <row r="59" spans="1:3" ht="15" customHeight="1" x14ac:dyDescent="0.3">
      <c r="A59" s="64" t="s">
        <v>124</v>
      </c>
      <c r="B59" s="64"/>
      <c r="C59" s="64"/>
    </row>
    <row r="60" spans="1:3" ht="15" customHeight="1" x14ac:dyDescent="0.3">
      <c r="A60" s="64" t="s">
        <v>106</v>
      </c>
      <c r="B60" s="64"/>
      <c r="C60" s="64"/>
    </row>
  </sheetData>
  <mergeCells count="54">
    <mergeCell ref="A1:C1"/>
    <mergeCell ref="A2:C2"/>
    <mergeCell ref="A4:C4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7:C57"/>
    <mergeCell ref="A58:C58"/>
    <mergeCell ref="A59:C59"/>
    <mergeCell ref="A60:C60"/>
    <mergeCell ref="A52:C52"/>
    <mergeCell ref="A53:C53"/>
    <mergeCell ref="A54:C54"/>
    <mergeCell ref="A55:C55"/>
    <mergeCell ref="A56:C5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Input Data</vt:lpstr>
      <vt:lpstr>2. Regresi &amp; Hasil</vt:lpstr>
      <vt:lpstr>3. Validasi &amp; Grafik</vt:lpstr>
      <vt:lpstr>4. Firmware ESP32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Okta Yuriko</cp:lastModifiedBy>
  <cp:revision>16</cp:revision>
  <dcterms:created xsi:type="dcterms:W3CDTF">2026-06-04T19:37:39Z</dcterms:created>
  <dcterms:modified xsi:type="dcterms:W3CDTF">2026-10-27T16:25:50Z</dcterms:modified>
  <dc:language>en-US</dc:language>
</cp:coreProperties>
</file>